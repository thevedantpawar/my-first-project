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0"/>
  </numFmts>
  <fonts count="11">
    <font>
      <name val="Arial"/>
      <color rgb="FF000000"/>
      <sz val="10"/>
      <scheme val="minor"/>
    </font>
    <font>
      <name val="Inter"/>
      <b val="1"/>
      <color rgb="FFCFE2F3"/>
    </font>
    <font>
      <name val="Inter"/>
      <color theme="1"/>
    </font>
    <font>
      <name val="Inter"/>
      <b val="1"/>
      <color theme="1"/>
    </font>
    <font>
      <name val="Inter"/>
      <b val="1"/>
      <color rgb="FF7F6000"/>
    </font>
    <font>
      <name val="Inter"/>
      <b val="1"/>
      <color rgb="FF274E13"/>
    </font>
    <font>
      <name val="Inter"/>
      <b val="1"/>
      <color rgb="FF073763"/>
    </font>
    <font>
      <name val="Inter"/>
    </font>
    <font>
      <name val="Inter"/>
      <color rgb="FF0000FF"/>
    </font>
    <font>
      <name val="Inter"/>
      <b val="1"/>
    </font>
    <font>
      <name val="Inter"/>
      <i val="1"/>
    </font>
  </fonts>
  <fills count="8">
    <fill>
      <patternFill/>
    </fill>
    <fill>
      <patternFill patternType="lightGray"/>
    </fill>
    <fill>
      <patternFill patternType="solid">
        <fgColor rgb="FF073763"/>
        <bgColor rgb="FF073763"/>
      </patternFill>
    </fill>
    <fill>
      <patternFill patternType="solid">
        <fgColor rgb="FFFCE5CD"/>
        <bgColor rgb="FFFCE5CD"/>
      </patternFill>
    </fill>
    <fill>
      <patternFill patternType="solid">
        <fgColor rgb="FFD9EAD3"/>
        <bgColor rgb="FFD9EAD3"/>
      </patternFill>
    </fill>
    <fill>
      <patternFill patternType="solid">
        <fgColor rgb="FFCFE2F3"/>
      </patternFill>
    </fill>
    <fill>
      <patternFill patternType="solid">
        <fgColor rgb="FFD9EAD3"/>
      </patternFill>
    </fill>
    <fill>
      <patternFill patternType="solid">
        <fgColor rgb="FFFFFF00"/>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24">
    <xf numFmtId="0" fontId="0" fillId="0" borderId="0" applyAlignment="1" pivotButton="0" quotePrefix="0" xfId="0">
      <alignment vertical="bottom"/>
    </xf>
    <xf numFmtId="0" fontId="1"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2" fillId="0" borderId="0" pivotButton="0" quotePrefix="0" xfId="0"/>
    <xf numFmtId="0" fontId="5" fillId="4" borderId="0" pivotButton="0" quotePrefix="0" xfId="0"/>
    <xf numFmtId="0" fontId="0" fillId="0" borderId="0" pivotButton="0" quotePrefix="0" xfId="0"/>
    <xf numFmtId="0" fontId="6" fillId="5" borderId="0" applyAlignment="1" pivotButton="0" quotePrefix="0" xfId="0">
      <alignment vertical="center" wrapText="1"/>
    </xf>
    <xf numFmtId="0" fontId="5" fillId="6" borderId="1" applyAlignment="1" pivotButton="0" quotePrefix="0" xfId="0">
      <alignment vertical="center" wrapText="1"/>
    </xf>
    <xf numFmtId="0" fontId="9" fillId="0" borderId="1" applyAlignment="1" pivotButton="0" quotePrefix="0" xfId="0">
      <alignment vertical="top" wrapText="1"/>
    </xf>
    <xf numFmtId="0" fontId="7" fillId="0" borderId="1" applyAlignment="1" pivotButton="0" quotePrefix="0" xfId="0">
      <alignment vertical="top" wrapText="1"/>
    </xf>
    <xf numFmtId="2" fontId="7" fillId="0" borderId="1" applyAlignment="1" pivotButton="0" quotePrefix="0" xfId="0">
      <alignment vertical="top" wrapText="1"/>
    </xf>
    <xf numFmtId="0" fontId="8" fillId="0" borderId="1" applyAlignment="1" pivotButton="0" quotePrefix="0" xfId="0">
      <alignment vertical="top" wrapText="1"/>
    </xf>
    <xf numFmtId="164" fontId="8" fillId="0" borderId="1" applyAlignment="1" pivotButton="0" quotePrefix="0" xfId="0">
      <alignment vertical="top" wrapText="1"/>
    </xf>
    <xf numFmtId="0" fontId="5" fillId="6" borderId="0" pivotButton="0" quotePrefix="0" xfId="0"/>
    <xf numFmtId="0" fontId="2" fillId="6" borderId="0" pivotButton="0" quotePrefix="0" xfId="0"/>
    <xf numFmtId="0" fontId="7" fillId="0" borderId="0" pivotButton="0" quotePrefix="0" xfId="0"/>
    <xf numFmtId="9" fontId="8" fillId="7" borderId="0" pivotButton="0" quotePrefix="0" xfId="0"/>
    <xf numFmtId="0" fontId="9" fillId="0" borderId="0" pivotButton="0" quotePrefix="0" xfId="0"/>
    <xf numFmtId="9" fontId="9" fillId="0" borderId="0" pivotButton="0" quotePrefix="0" xfId="0"/>
    <xf numFmtId="0" fontId="10" fillId="0" borderId="0" pivotButton="0" quotePrefix="0" xfId="0"/>
    <xf numFmtId="0" fontId="9"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dxfs count="4">
    <dxf>
      <fill>
        <patternFill patternType="solid">
          <fgColor rgb="FFB6D7A8"/>
        </patternFill>
      </fill>
    </dxf>
    <dxf>
      <fill>
        <patternFill patternType="solid">
          <fgColor rgb="FFD9EAD3"/>
        </patternFill>
      </fill>
    </dxf>
    <dxf>
      <fill>
        <patternFill patternType="solid">
          <fgColor rgb="FFFFF2CC"/>
        </patternFill>
      </fill>
    </dxf>
    <dxf>
      <fill>
        <patternFill patternType="solid">
          <fgColor rgb="FF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0"/>
  <sheetViews>
    <sheetView workbookViewId="0">
      <selection activeCell="A1" sqref="A1"/>
    </sheetView>
  </sheetViews>
  <sheetFormatPr baseColWidth="8" defaultColWidth="12.63" defaultRowHeight="15.75" customHeight="1"/>
  <cols>
    <col width="33.88" customWidth="1" style="7" min="1" max="1"/>
    <col width="24.13" customWidth="1" style="7" min="2" max="2"/>
    <col width="52.63" customWidth="1" style="7" min="3" max="3"/>
    <col width="8" customWidth="1" style="7" min="4" max="4"/>
    <col width="11" customWidth="1" style="7" min="5" max="5"/>
    <col width="15" customWidth="1" style="7" min="6" max="6"/>
    <col width="13" customWidth="1" style="7" min="7" max="7"/>
    <col width="15" customWidth="1" style="7" min="8" max="8"/>
    <col width="13" customWidth="1" style="7" min="9" max="9"/>
    <col width="15" customWidth="1" style="7" min="10" max="10"/>
    <col width="13" customWidth="1" style="7" min="11" max="11"/>
    <col width="16" customWidth="1" style="7" min="12" max="12"/>
    <col width="60" customWidth="1" style="7" min="13" max="13"/>
    <col width="30" customWidth="1" style="7" min="14" max="14"/>
    <col width="14" customWidth="1" style="7" min="15" max="15"/>
    <col width="14" customWidth="1" style="7" min="16" max="16"/>
    <col width="13" customWidth="1" style="7" min="17" max="17"/>
    <col width="13" customWidth="1" style="7" min="18" max="18"/>
    <col width="13" customWidth="1" style="7" min="19" max="19"/>
    <col width="15" customWidth="1" style="7" min="20" max="20"/>
    <col width="50" customWidth="1" style="7" min="21" max="21"/>
    <col width="50" customWidth="1" style="7" min="22" max="22"/>
  </cols>
  <sheetData>
    <row r="1">
      <c r="A1" s="1" t="inlineStr">
        <is>
          <t>👋 First: make a copy of this spreadsheet by going to File &gt; Make a Copy</t>
        </is>
      </c>
      <c r="F1" s="5" t="n"/>
      <c r="G1" s="5" t="n"/>
      <c r="H1" s="5" t="n"/>
      <c r="I1" s="5" t="n"/>
      <c r="J1" s="5" t="n"/>
      <c r="K1" s="5" t="n"/>
      <c r="L1" s="5" t="n"/>
      <c r="M1" s="5" t="n"/>
      <c r="N1" s="5" t="n"/>
      <c r="O1" s="5" t="n"/>
      <c r="P1" s="5" t="n"/>
      <c r="Q1" s="5" t="n"/>
      <c r="R1" s="5" t="n"/>
      <c r="S1" s="5" t="n"/>
      <c r="T1" s="5" t="n"/>
      <c r="U1" s="5" t="n"/>
      <c r="V1" s="5" t="n"/>
      <c r="W1" s="5" t="n"/>
      <c r="X1" s="5" t="n"/>
      <c r="Y1" s="5" t="n"/>
      <c r="Z1" s="5" t="n"/>
    </row>
    <row r="2">
      <c r="A2" s="5"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3" t="inlineStr">
        <is>
          <t>🫵 Second: this Niche Discovery Sheet will help you find an automation niche by listing other examples of popular niches and giving you examples of positioning statements. 
You do not have to use one of the niches on this Sheet. You may have domain-specific experience in another industry, and it's perfectly alright to niche down in that instead (in fact, I recommend it). 
This Sheet is simply meant to save you a few hours of brainstorming—instead of bouncing ideas around in your head by brute force, you can look at examples of real, successful niches and then 
either select, combine, or pattern match these to come up with something new.
What is a "good" niche?
In general a "good niche" is often:
- digital (because you can source leads from all over the world instead of just a specific locale),
- service-based (because you can build automations that streamline important parts of their work and save them money—contrast this with, say, e-commerce),
- mid to large ticket (because a single deal is thus worth a lot to them, which lets you drive $ easily and attribute fast revenue growth to your services),
- not utterly broke! (i.e I wouldn't make "virtual assistants" your niche, since they're less likely to have the money to spend)
This doesn't mean that you have to pick a niche in the above categories. But they tend to be easier to make money with. No use running an uphill marathon when you can just as easily pick a downhill one.</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c r="A4" s="5" t="n"/>
      <c r="B4" s="5" t="n"/>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4" t="inlineStr">
        <is>
          <t>Example niche</t>
        </is>
      </c>
      <c r="B5" s="4" t="inlineStr">
        <is>
          <t>Example service line</t>
        </is>
      </c>
      <c r="C5" s="4" t="inlineStr">
        <is>
          <t>Example positioning statement</t>
        </is>
      </c>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5" t="inlineStr">
        <is>
          <t>website developers</t>
        </is>
      </c>
      <c r="B6" s="5" t="inlineStr">
        <is>
          <t>sales</t>
        </is>
      </c>
      <c r="C6" s="5">
        <f>concatenate("I build ", B6, " systems for ", A6)</f>
        <v/>
      </c>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5" t="inlineStr">
        <is>
          <t>instagram influencers</t>
        </is>
      </c>
      <c r="B7" s="5" t="inlineStr">
        <is>
          <t>marketing</t>
        </is>
      </c>
      <c r="C7" s="5">
        <f>concatenate("I build ", B7, " systems for ", A7)</f>
        <v/>
      </c>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5" t="inlineStr">
        <is>
          <t>PPC agencies</t>
        </is>
      </c>
      <c r="B8" s="5" t="inlineStr">
        <is>
          <t>hiring</t>
        </is>
      </c>
      <c r="C8" s="5">
        <f>concatenate("I build ", B8, " systems for ", A8)</f>
        <v/>
      </c>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5" t="inlineStr">
        <is>
          <t>SEO specialists</t>
        </is>
      </c>
      <c r="B9" s="5" t="inlineStr">
        <is>
          <t>product development</t>
        </is>
      </c>
      <c r="C9" s="5">
        <f>concatenate("I build ", B9, " systems for ", A9)</f>
        <v/>
      </c>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5" t="inlineStr">
        <is>
          <t>cybersecurity consultants</t>
        </is>
      </c>
      <c r="B10" s="5" t="inlineStr">
        <is>
          <t>CRO</t>
        </is>
      </c>
      <c r="C10" s="5">
        <f>concatenate("I build ", B10, " systems for ", A10)</f>
        <v/>
      </c>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5" t="inlineStr">
        <is>
          <t>mobile app developers</t>
        </is>
      </c>
      <c r="B11" s="5" t="inlineStr">
        <is>
          <t>product development</t>
        </is>
      </c>
      <c r="C11" s="5">
        <f>concatenate("I build ", B11, " systems for ", A11)</f>
        <v/>
      </c>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5" t="inlineStr">
        <is>
          <t>social media marketing agencies</t>
        </is>
      </c>
      <c r="B12" s="5" t="inlineStr">
        <is>
          <t>human resources</t>
        </is>
      </c>
      <c r="C12" s="5">
        <f>concatenate("I build ", B12, " systems for ", A12)</f>
        <v/>
      </c>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5" t="inlineStr">
        <is>
          <t>IT consultants</t>
        </is>
      </c>
      <c r="B13" s="5" t="inlineStr">
        <is>
          <t>finance</t>
        </is>
      </c>
      <c r="C13" s="5">
        <f>concatenate("I build ", B13, " systems for ", A13)</f>
        <v/>
      </c>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5" t="inlineStr">
        <is>
          <t>e-learning consultants</t>
        </is>
      </c>
      <c r="B14" s="5" t="inlineStr">
        <is>
          <t>supply chain</t>
        </is>
      </c>
      <c r="C14" s="5">
        <f>concatenate("I build ", B14, " systems for ", A14)</f>
        <v/>
      </c>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5" t="inlineStr">
        <is>
          <t>financial advisors</t>
        </is>
      </c>
      <c r="B15" s="5" t="inlineStr">
        <is>
          <t>public relations</t>
        </is>
      </c>
      <c r="C15" s="5">
        <f>concatenate("I build ", B15, " systems for ", A15)</f>
        <v/>
      </c>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inlineStr">
        <is>
          <t>recruitment companies</t>
        </is>
      </c>
      <c r="B16" s="5" t="inlineStr">
        <is>
          <t>candidate outreach</t>
        </is>
      </c>
      <c r="C16" s="5">
        <f>concatenate("I build ", B16, " systems for ", A16)</f>
        <v/>
      </c>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inlineStr">
        <is>
          <t>wedding coordinators</t>
        </is>
      </c>
      <c r="B17" s="5" t="inlineStr">
        <is>
          <t>project management</t>
        </is>
      </c>
      <c r="C17" s="5">
        <f>concatenate("I build ", B17, " systems for ", A17)</f>
        <v/>
      </c>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inlineStr">
        <is>
          <t>high-ticket SaaS companies</t>
        </is>
      </c>
      <c r="B18" s="5" t="inlineStr">
        <is>
          <t>business development</t>
        </is>
      </c>
      <c r="C18" s="5">
        <f>concatenate("I build ", B18, " systems for ", A18)</f>
        <v/>
      </c>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inlineStr">
        <is>
          <t>video editing agencies</t>
        </is>
      </c>
      <c r="B19" s="5" t="inlineStr">
        <is>
          <t>partnership</t>
        </is>
      </c>
      <c r="C19" s="5">
        <f>concatenate("I build ", B19, " systems for ", A19)</f>
        <v/>
      </c>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inlineStr">
        <is>
          <t>manufacturers</t>
        </is>
      </c>
      <c r="B20" s="5" t="inlineStr">
        <is>
          <t>procurement</t>
        </is>
      </c>
      <c r="C20" s="5">
        <f>concatenate("I build ", B20, " systems for ", A20)</f>
        <v/>
      </c>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inlineStr">
        <is>
          <t>AI consultants</t>
        </is>
      </c>
      <c r="B21" s="5" t="inlineStr">
        <is>
          <t>operations</t>
        </is>
      </c>
      <c r="C21" s="5">
        <f>concatenate("I build ", B21, " systems for ", A21)</f>
        <v/>
      </c>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inlineStr">
        <is>
          <t>photography and videography agencies</t>
        </is>
      </c>
      <c r="B22" s="5" t="inlineStr">
        <is>
          <t>strategic planning</t>
        </is>
      </c>
      <c r="C22" s="5">
        <f>concatenate("I build ", B22, " systems for ", A22)</f>
        <v/>
      </c>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inlineStr">
        <is>
          <t>software consultancies</t>
        </is>
      </c>
      <c r="B23" s="5" t="inlineStr">
        <is>
          <t>quality assurance</t>
        </is>
      </c>
      <c r="C23" s="5">
        <f>concatenate("I build ", B23, " systems for ", A23)</f>
        <v/>
      </c>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inlineStr">
        <is>
          <t>VR companies</t>
        </is>
      </c>
      <c r="B24" s="5" t="inlineStr">
        <is>
          <t>employee training</t>
        </is>
      </c>
      <c r="C24" s="5">
        <f>concatenate("I build ", B24, " systems for ", A24)</f>
        <v/>
      </c>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inlineStr">
        <is>
          <t>crypto companies</t>
        </is>
      </c>
      <c r="B25" s="5" t="inlineStr">
        <is>
          <t>PR &amp; fundraising</t>
        </is>
      </c>
      <c r="C25" s="5">
        <f>concatenate("I build ", B25, " systems for ", A25)</f>
        <v/>
      </c>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inlineStr">
        <is>
          <t>project management consultants</t>
        </is>
      </c>
      <c r="B26" s="5" t="inlineStr">
        <is>
          <t>sales</t>
        </is>
      </c>
      <c r="C26" s="5">
        <f>concatenate("I build ", B26, " systems for ", A26)</f>
        <v/>
      </c>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inlineStr">
        <is>
          <t>event planning businesses</t>
        </is>
      </c>
      <c r="B27" s="5" t="inlineStr">
        <is>
          <t>hiring</t>
        </is>
      </c>
      <c r="C27" s="5">
        <f>concatenate("I build ", B27, " systems for ", A27)</f>
        <v/>
      </c>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inlineStr">
        <is>
          <t>architecture firms</t>
        </is>
      </c>
      <c r="B28" s="5" t="inlineStr">
        <is>
          <t>product development</t>
        </is>
      </c>
      <c r="C28" s="5">
        <f>concatenate("I build ", B28, " systems for ", A28)</f>
        <v/>
      </c>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inlineStr">
        <is>
          <t>real estate agents</t>
        </is>
      </c>
      <c r="B29" s="5" t="inlineStr">
        <is>
          <t>CRO</t>
        </is>
      </c>
      <c r="C29" s="5">
        <f>concatenate("I build ", B29, " systems for ", A29)</f>
        <v/>
      </c>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inlineStr">
        <is>
          <t>interior designers</t>
        </is>
      </c>
      <c r="B30" s="5" t="inlineStr">
        <is>
          <t>product development</t>
        </is>
      </c>
      <c r="C30" s="5">
        <f>concatenate("I build ", B30, " systems for ", A30)</f>
        <v/>
      </c>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inlineStr">
        <is>
          <t>meal services</t>
        </is>
      </c>
      <c r="B31" s="5" t="inlineStr">
        <is>
          <t>human resources</t>
        </is>
      </c>
      <c r="C31" s="5">
        <f>concatenate("I build ", B31, " systems for ", A31)</f>
        <v/>
      </c>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inlineStr">
        <is>
          <t>green tech companies</t>
        </is>
      </c>
      <c r="B32" s="5" t="inlineStr">
        <is>
          <t>financial</t>
        </is>
      </c>
      <c r="C32" s="5">
        <f>concatenate("I build ", B32, " systems for ", A32)</f>
        <v/>
      </c>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inlineStr">
        <is>
          <t>PR agencies</t>
        </is>
      </c>
      <c r="B33" s="5" t="inlineStr">
        <is>
          <t>supply chain</t>
        </is>
      </c>
      <c r="C33" s="5">
        <f>concatenate("I build ", B33, " systems for ", A33)</f>
        <v/>
      </c>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inlineStr">
        <is>
          <t>bookkeeping firms</t>
        </is>
      </c>
      <c r="B34" s="5" t="inlineStr">
        <is>
          <t>public relations</t>
        </is>
      </c>
      <c r="C34" s="5">
        <f>concatenate("I build ", B34, " systems for ", A34)</f>
        <v/>
      </c>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inlineStr">
        <is>
          <t>email marketing companies</t>
        </is>
      </c>
      <c r="B35" s="5" t="inlineStr">
        <is>
          <t>research and development</t>
        </is>
      </c>
      <c r="C35" s="5">
        <f>concatenate("I build ", B35, " systems for ", A35)</f>
        <v/>
      </c>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inlineStr">
        <is>
          <t>chatbot developers</t>
        </is>
      </c>
      <c r="B36" s="5" t="inlineStr">
        <is>
          <t>compliance</t>
        </is>
      </c>
      <c r="C36" s="5">
        <f>concatenate("I build ", B36, " systems for ", A36)</f>
        <v/>
      </c>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inlineStr">
        <is>
          <t>accounting companies</t>
        </is>
      </c>
      <c r="B37" s="5" t="inlineStr">
        <is>
          <t>business development</t>
        </is>
      </c>
      <c r="C37" s="5">
        <f>concatenate("I build ", B37, " systems for ", A37)</f>
        <v/>
      </c>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inlineStr">
        <is>
          <t>CRO agencies</t>
        </is>
      </c>
      <c r="B38" s="5" t="inlineStr">
        <is>
          <t>procurement</t>
        </is>
      </c>
      <c r="C38" s="5">
        <f>concatenate("I build ", B38, " systems for ", A38)</f>
        <v/>
      </c>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inlineStr">
        <is>
          <t>content writing firms</t>
        </is>
      </c>
      <c r="B39" s="5" t="inlineStr">
        <is>
          <t>content production</t>
        </is>
      </c>
      <c r="C39" s="5">
        <f>concatenate("I build ", B39, " systems for ", A39)</f>
        <v/>
      </c>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inlineStr">
        <is>
          <t>crowdfunding agencies</t>
        </is>
      </c>
      <c r="B40" s="5" t="inlineStr">
        <is>
          <t>strategic planning</t>
        </is>
      </c>
      <c r="C40" s="5">
        <f>concatenate("I build ", B40, " systems for ", A40)</f>
        <v/>
      </c>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inlineStr">
        <is>
          <t>M&amp;A advisory firms</t>
        </is>
      </c>
      <c r="B41" s="5" t="inlineStr">
        <is>
          <t>quality assurance</t>
        </is>
      </c>
      <c r="C41" s="5">
        <f>concatenate("I build ", B41, " systems for ", A41)</f>
        <v/>
      </c>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inlineStr">
        <is>
          <t>crisis management companies</t>
        </is>
      </c>
      <c r="B42" s="5" t="inlineStr">
        <is>
          <t>employee training</t>
        </is>
      </c>
      <c r="C42" s="5">
        <f>concatenate("I build ", B42, " systems for ", A42)</f>
        <v/>
      </c>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34" customHeight="1" s="7">
      <c r="A44" s="8" t="inlineStr">
        <is>
          <t>🏆 AI Automation / AI Agents Agency — Niche Ranking for the US Market (best to worst). Scores are 1–10 estimates; $ values are typical 2026 US small-agency pricing (midpoints). Blue cells are editable inputs.</t>
        </is>
      </c>
      <c r="W44" s="5" t="n"/>
      <c r="X44" s="5" t="n"/>
      <c r="Y44" s="5" t="n"/>
      <c r="Z44" s="5" t="n"/>
    </row>
    <row r="45" ht="58" customHeight="1" s="7">
      <c r="A45" s="9" t="inlineStr">
        <is>
          <t>Your niches</t>
        </is>
      </c>
      <c r="B45" s="9" t="inlineStr">
        <is>
          <t>Your service lines</t>
        </is>
      </c>
      <c r="C45" s="9" t="inlineStr">
        <is>
          <t>Your positioning statements</t>
        </is>
      </c>
      <c r="D45" s="9" t="inlineStr">
        <is>
          <t>Rank</t>
        </is>
      </c>
      <c r="E45" s="9" t="inlineStr">
        <is>
          <t>Overall score (/10)</t>
        </is>
      </c>
      <c r="F45" s="9" t="inlineStr">
        <is>
          <t>Tier</t>
        </is>
      </c>
      <c r="G45" s="9" t="inlineStr">
        <is>
          <t>Demand for AI automation (1-10)</t>
        </is>
      </c>
      <c r="H45" s="9" t="inlineStr">
        <is>
          <t>Low competition (1-10, 10 = least crowded)</t>
        </is>
      </c>
      <c r="I45" s="9" t="inlineStr">
        <is>
          <t>Ability to pay / deal size (1-10)</t>
        </is>
      </c>
      <c r="J45" s="9" t="inlineStr">
        <is>
          <t>Ease to sell &amp; deliver as a beginner (1-10)</t>
        </is>
      </c>
      <c r="K45" s="9" t="inlineStr">
        <is>
          <t>Retention / recurring potential (1-10)</t>
        </is>
      </c>
      <c r="L45" s="9" t="inlineStr">
        <is>
          <t>Competition level</t>
        </is>
      </c>
      <c r="M45" s="9" t="inlineStr">
        <is>
          <t>What exactly to sell (offer &amp; deliverables)</t>
        </is>
      </c>
      <c r="N45" s="9" t="inlineStr">
        <is>
          <t>Typical US client size</t>
        </is>
      </c>
      <c r="O45" s="9" t="inlineStr">
        <is>
          <t>Typical one-time setup fee (USD)</t>
        </is>
      </c>
      <c r="P45" s="9" t="inlineStr">
        <is>
          <t>Typical monthly retainer (USD)</t>
        </is>
      </c>
      <c r="Q45" s="9" t="inlineStr">
        <is>
          <t>Retainer clients needed for $2k/mo</t>
        </is>
      </c>
      <c r="R45" s="9" t="inlineStr">
        <is>
          <t>Retainer clients needed for $5k/mo</t>
        </is>
      </c>
      <c r="S45" s="9" t="inlineStr">
        <is>
          <t>Retainer clients needed for $10k/mo</t>
        </is>
      </c>
      <c r="T45" s="9" t="inlineStr">
        <is>
          <t>Realistic income target</t>
        </is>
      </c>
      <c r="U45" s="9" t="inlineStr">
        <is>
          <t>Pros</t>
        </is>
      </c>
      <c r="V45" s="9" t="inlineStr">
        <is>
          <t>Cons</t>
        </is>
      </c>
      <c r="W45" s="5" t="n"/>
      <c r="X45" s="5" t="n"/>
      <c r="Y45" s="5" t="n"/>
      <c r="Z45" s="5" t="n"/>
    </row>
    <row r="46" ht="96" customHeight="1" s="7">
      <c r="A46" s="10" t="inlineStr">
        <is>
          <t>recruitment companies</t>
        </is>
      </c>
      <c r="B46" s="11" t="inlineStr">
        <is>
          <t>AI candidate sourcing &amp; outreach</t>
        </is>
      </c>
      <c r="C46" s="11">
        <f>CONCATENATE("I build ",B46," systems for ",A46)</f>
        <v/>
      </c>
      <c r="D46" s="11">
        <f>RANK(E46,$E$46:$E$82)</f>
        <v/>
      </c>
      <c r="E46" s="12">
        <f>ROUND(G46*$C$87+H46*$C$88+I46*$C$89+J46*$C$90+K46*$C$91,2)</f>
        <v/>
      </c>
      <c r="F46" s="11">
        <f>IF(E46&gt;=7,"A – Start here",IF(E46&gt;=6,"B – Strong",IF(E46&gt;=5,"C – Possible","D – Avoid")))</f>
        <v/>
      </c>
      <c r="G46" s="13" t="n">
        <v>9</v>
      </c>
      <c r="H46" s="13" t="n">
        <v>5</v>
      </c>
      <c r="I46" s="13" t="n">
        <v>8</v>
      </c>
      <c r="J46" s="13" t="n">
        <v>8</v>
      </c>
      <c r="K46" s="13" t="n">
        <v>8</v>
      </c>
      <c r="L46" s="11" t="inlineStr">
        <is>
          <t>Medium</t>
        </is>
      </c>
      <c r="M46" s="11" t="inlineStr">
        <is>
          <t>AI agent that sources candidates (LinkedIn, job boards), scores them against the job spec, sends personalised multi-channel outreach, auto-books screening calls and syncs everything to the ATS (Bullhorn, Loxo, Recruit CRM). Upsell: a BD agent that finds companies actively hiring.</t>
        </is>
      </c>
      <c r="N46" s="11" t="inlineStr">
        <is>
          <t>Agencies with 5–50 recruiters; $1M–$20M revenue; $15k–$40k fee per placement</t>
        </is>
      </c>
      <c r="O46" s="14" t="n">
        <v>5000</v>
      </c>
      <c r="P46" s="14" t="n">
        <v>2000</v>
      </c>
      <c r="Q46" s="11">
        <f>ROUNDUP(2000/P46,0)</f>
        <v/>
      </c>
      <c r="R46" s="11">
        <f>ROUNDUP(5000/P46,0)</f>
        <v/>
      </c>
      <c r="S46" s="11">
        <f>ROUNDUP(10000/P46,0)</f>
        <v/>
      </c>
      <c r="T46" s="11">
        <f>IF(AND(E46&gt;=6.8,S46&lt;=5),"$10k+/mo",IF(AND(E46&gt;=6,R46&lt;=4),"$5k–10k/mo",IF(E46&gt;=5,"$2k–5k/mo","Under $2k/mo")))</f>
        <v/>
      </c>
      <c r="U46" s="11" t="inlineStr">
        <is>
          <t>One extra placement ($20k+ fee) pays for a year of your service; ROI is easy to prove; owners are sales-minded and decide fast; huge US market (20k+ staffing firms)</t>
        </is>
      </c>
      <c r="V46" s="11" t="inlineStr">
        <is>
          <t>Hiring market is cyclical; LinkedIn automation limits / ToS risk; ATS vendors are adding native AI</t>
        </is>
      </c>
      <c r="W46" s="5" t="n"/>
      <c r="X46" s="5" t="n"/>
      <c r="Y46" s="5" t="n"/>
      <c r="Z46" s="5" t="n"/>
    </row>
    <row r="47" ht="96" customHeight="1" s="7">
      <c r="A47" s="10" t="inlineStr">
        <is>
          <t>accounting companies</t>
        </is>
      </c>
      <c r="B47" s="11" t="inlineStr">
        <is>
          <t>AI client onboarding &amp; document collection</t>
        </is>
      </c>
      <c r="C47" s="11">
        <f>CONCATENATE("I build ",B47," systems for ",A47)</f>
        <v/>
      </c>
      <c r="D47" s="11">
        <f>RANK(E47,$E$46:$E$82)</f>
        <v/>
      </c>
      <c r="E47" s="12">
        <f>ROUND(G47*$C$87+H47*$C$88+I47*$C$89+J47*$C$90+K47*$C$91,2)</f>
        <v/>
      </c>
      <c r="F47" s="11">
        <f>IF(E47&gt;=7,"A – Start here",IF(E47&gt;=6,"B – Strong",IF(E47&gt;=5,"C – Possible","D – Avoid")))</f>
        <v/>
      </c>
      <c r="G47" s="13" t="n">
        <v>9</v>
      </c>
      <c r="H47" s="13" t="n">
        <v>6</v>
      </c>
      <c r="I47" s="13" t="n">
        <v>8</v>
      </c>
      <c r="J47" s="13" t="n">
        <v>6</v>
      </c>
      <c r="K47" s="13" t="n">
        <v>9</v>
      </c>
      <c r="L47" s="11" t="inlineStr">
        <is>
          <t>Medium</t>
        </is>
      </c>
      <c r="M47" s="11" t="inlineStr">
        <is>
          <t>Automated client intake and engagement letters, document chasing by email/SMS, AI classification of uploaded documents into tax-software folders, AP/invoice data extraction, AI inbox triage. Sell it as tax-season capacity.</t>
        </is>
      </c>
      <c r="N47" s="11" t="inlineStr">
        <is>
          <t>CPA firms with 5–100 staff; $1M–$30M revenue</t>
        </is>
      </c>
      <c r="O47" s="14" t="n">
        <v>6000</v>
      </c>
      <c r="P47" s="14" t="n">
        <v>2500</v>
      </c>
      <c r="Q47" s="11">
        <f>ROUNDUP(2000/P47,0)</f>
        <v/>
      </c>
      <c r="R47" s="11">
        <f>ROUNDUP(5000/P47,0)</f>
        <v/>
      </c>
      <c r="S47" s="11">
        <f>ROUNDUP(10000/P47,0)</f>
        <v/>
      </c>
      <c r="T47" s="11">
        <f>IF(AND(E47&gt;=6.8,S47&lt;=5),"$10k+/mo",IF(AND(E47&gt;=6,R47&lt;=4),"$5k–10k/mo",IF(E47&gt;=5,"$2k–5k/mo","Under $2k/mo")))</f>
        <v/>
      </c>
      <c r="U47" s="11" t="inlineStr">
        <is>
          <t>Severe US accountant shortage makes the pain urgent; very sticky once embedded; firms refer each other; recurring annual cycle</t>
        </is>
      </c>
      <c r="V47" s="11" t="inlineStr">
        <is>
          <t>Conservative buyers, slower decisions; data-security / SOC 2 questions; Jan–Apr busy season, so sell May–Dec</t>
        </is>
      </c>
      <c r="W47" s="5" t="n"/>
      <c r="X47" s="5" t="n"/>
      <c r="Y47" s="5" t="n"/>
      <c r="Z47" s="5" t="n"/>
    </row>
    <row r="48" ht="96" customHeight="1" s="7">
      <c r="A48" s="10" t="inlineStr">
        <is>
          <t>financial advisors</t>
        </is>
      </c>
      <c r="B48" s="11" t="inlineStr">
        <is>
          <t>AI meeting-to-CRM &amp; client onboarding</t>
        </is>
      </c>
      <c r="C48" s="11">
        <f>CONCATENATE("I build ",B48," systems for ",A48)</f>
        <v/>
      </c>
      <c r="D48" s="11">
        <f>RANK(E48,$E$46:$E$82)</f>
        <v/>
      </c>
      <c r="E48" s="12">
        <f>ROUND(G48*$C$87+H48*$C$88+I48*$C$89+J48*$C$90+K48*$C$91,2)</f>
        <v/>
      </c>
      <c r="F48" s="11">
        <f>IF(E48&gt;=7,"A – Start here",IF(E48&gt;=6,"B – Strong",IF(E48&gt;=5,"C – Possible","D – Avoid")))</f>
        <v/>
      </c>
      <c r="G48" s="13" t="n">
        <v>8</v>
      </c>
      <c r="H48" s="13" t="n">
        <v>6</v>
      </c>
      <c r="I48" s="13" t="n">
        <v>9</v>
      </c>
      <c r="J48" s="13" t="n">
        <v>5</v>
      </c>
      <c r="K48" s="13" t="n">
        <v>8</v>
      </c>
      <c r="L48" s="11" t="inlineStr">
        <is>
          <t>Medium (Jump, Zocks, Zeplyn exist)</t>
        </is>
      </c>
      <c r="M48" s="11" t="inlineStr">
        <is>
          <t>AI meeting notes pushed into the CRM (Redtail, Wealthbox, Salesforce FSC), follow-up email drafts, onboarding and paperwork automation, prospect nurture and seminar follow-up, all with compliance archiving.</t>
        </is>
      </c>
      <c r="N48" s="11" t="inlineStr">
        <is>
          <t>RIAs / independent advisors with $100M–$2B AUM</t>
        </is>
      </c>
      <c r="O48" s="14" t="n">
        <v>5000</v>
      </c>
      <c r="P48" s="14" t="n">
        <v>2000</v>
      </c>
      <c r="Q48" s="11">
        <f>ROUNDUP(2000/P48,0)</f>
        <v/>
      </c>
      <c r="R48" s="11">
        <f>ROUNDUP(5000/P48,0)</f>
        <v/>
      </c>
      <c r="S48" s="11">
        <f>ROUNDUP(10000/P48,0)</f>
        <v/>
      </c>
      <c r="T48" s="11">
        <f>IF(AND(E48&gt;=6.8,S48&lt;=5),"$10k+/mo",IF(AND(E48&gt;=6,R48&lt;=4),"$5k–10k/mo",IF(E48&gt;=5,"$2k–5k/mo","Under $2k/mo")))</f>
        <v/>
      </c>
      <c r="U48" s="11" t="inlineStr">
        <is>
          <t>Very high client lifetime value; advisors have money and hate admin; sticky long-term relationships</t>
        </is>
      </c>
      <c r="V48" s="11" t="inlineStr">
        <is>
          <t>SEC/FINRA compliance review slows deals; point-solution SaaS competitors; strict PII handling required</t>
        </is>
      </c>
      <c r="W48" s="5" t="n"/>
      <c r="X48" s="5" t="n"/>
      <c r="Y48" s="5" t="n"/>
      <c r="Z48" s="5" t="n"/>
    </row>
    <row r="49" ht="96" customHeight="1" s="7">
      <c r="A49" s="10" t="inlineStr">
        <is>
          <t>bookkeeping firms</t>
        </is>
      </c>
      <c r="B49" s="11" t="inlineStr">
        <is>
          <t>AI month-end close &amp; document chasing</t>
        </is>
      </c>
      <c r="C49" s="11">
        <f>CONCATENATE("I build ",B49," systems for ",A49)</f>
        <v/>
      </c>
      <c r="D49" s="11">
        <f>RANK(E49,$E$46:$E$82)</f>
        <v/>
      </c>
      <c r="E49" s="12">
        <f>ROUND(G49*$C$87+H49*$C$88+I49*$C$89+J49*$C$90+K49*$C$91,2)</f>
        <v/>
      </c>
      <c r="F49" s="11">
        <f>IF(E49&gt;=7,"A – Start here",IF(E49&gt;=6,"B – Strong",IF(E49&gt;=5,"C – Possible","D – Avoid")))</f>
        <v/>
      </c>
      <c r="G49" s="13" t="n">
        <v>8</v>
      </c>
      <c r="H49" s="13" t="n">
        <v>6</v>
      </c>
      <c r="I49" s="13" t="n">
        <v>6</v>
      </c>
      <c r="J49" s="13" t="n">
        <v>7</v>
      </c>
      <c r="K49" s="13" t="n">
        <v>9</v>
      </c>
      <c r="L49" s="11" t="inlineStr">
        <is>
          <t>Medium</t>
        </is>
      </c>
      <c r="M49" s="11" t="inlineStr">
        <is>
          <t>Receipt and bill capture with auto-categorisation into QuickBooks Online/Xero, automated missing-document chasing, client Q&amp;A bot, month-end summary reports, onboarding workflows.</t>
        </is>
      </c>
      <c r="N49" s="11" t="inlineStr">
        <is>
          <t>Firms with 3–30 staff serving 50–500 SMB clients</t>
        </is>
      </c>
      <c r="O49" s="14" t="n">
        <v>3500</v>
      </c>
      <c r="P49" s="14" t="n">
        <v>1500</v>
      </c>
      <c r="Q49" s="11">
        <f>ROUNDUP(2000/P49,0)</f>
        <v/>
      </c>
      <c r="R49" s="11">
        <f>ROUNDUP(5000/P49,0)</f>
        <v/>
      </c>
      <c r="S49" s="11">
        <f>ROUNDUP(10000/P49,0)</f>
        <v/>
      </c>
      <c r="T49" s="11">
        <f>IF(AND(E49&gt;=6.8,S49&lt;=5),"$10k+/mo",IF(AND(E49&gt;=6,R49&lt;=4),"$5k–10k/mo",IF(E49&gt;=5,"$2k–5k/mo","Under $2k/mo")))</f>
        <v/>
      </c>
      <c r="U49" s="11" t="inlineStr">
        <is>
          <t>Repetitive rules-based work is ideal for automation; margin gains are directly visible; extremely sticky</t>
        </is>
      </c>
      <c r="V49" s="11" t="inlineStr">
        <is>
          <t>Smaller budgets than CPA firms; QuickBooks/Xero keep adding native AI; you must guarantee accuracy</t>
        </is>
      </c>
      <c r="W49" s="5" t="n"/>
      <c r="X49" s="5" t="n"/>
      <c r="Y49" s="5" t="n"/>
      <c r="Z49" s="5" t="n"/>
    </row>
    <row r="50" ht="96" customHeight="1" s="7">
      <c r="A50" s="10" t="inlineStr">
        <is>
          <t>manufacturers</t>
        </is>
      </c>
      <c r="B50" s="11" t="inlineStr">
        <is>
          <t>AI RFQ quoting &amp; order entry</t>
        </is>
      </c>
      <c r="C50" s="11">
        <f>CONCATENATE("I build ",B50," systems for ",A50)</f>
        <v/>
      </c>
      <c r="D50" s="11">
        <f>RANK(E50,$E$46:$E$82)</f>
        <v/>
      </c>
      <c r="E50" s="12">
        <f>ROUND(G50*$C$87+H50*$C$88+I50*$C$89+J50*$C$90+K50*$C$91,2)</f>
        <v/>
      </c>
      <c r="F50" s="11">
        <f>IF(E50&gt;=7,"A – Start here",IF(E50&gt;=6,"B – Strong",IF(E50&gt;=5,"C – Possible","D – Avoid")))</f>
        <v/>
      </c>
      <c r="G50" s="13" t="n">
        <v>7</v>
      </c>
      <c r="H50" s="13" t="n">
        <v>8</v>
      </c>
      <c r="I50" s="13" t="n">
        <v>8</v>
      </c>
      <c r="J50" s="13" t="n">
        <v>4</v>
      </c>
      <c r="K50" s="13" t="n">
        <v>9</v>
      </c>
      <c r="L50" s="11" t="inlineStr">
        <is>
          <t>Low</t>
        </is>
      </c>
      <c r="M50" s="11" t="inlineStr">
        <is>
          <t>AI agent reads RFQs and POs from email/PDF, extracts line items, drafts quotes, enters orders into the ERP; supplier follow-ups; inventory and procurement alerts.</t>
        </is>
      </c>
      <c r="N50" s="11" t="inlineStr">
        <is>
          <t>Small/mid manufacturers with $10M–$250M revenue</t>
        </is>
      </c>
      <c r="O50" s="14" t="n">
        <v>12000</v>
      </c>
      <c r="P50" s="14" t="n">
        <v>3500</v>
      </c>
      <c r="Q50" s="11">
        <f>ROUNDUP(2000/P50,0)</f>
        <v/>
      </c>
      <c r="R50" s="11">
        <f>ROUNDUP(5000/P50,0)</f>
        <v/>
      </c>
      <c r="S50" s="11">
        <f>ROUNDUP(10000/P50,0)</f>
        <v/>
      </c>
      <c r="T50" s="11">
        <f>IF(AND(E50&gt;=6.8,S50&lt;=5),"$10k+/mo",IF(AND(E50&gt;=6,R50&lt;=4),"$5k–10k/mo",IF(E50&gt;=5,"$2k–5k/mo","Under $2k/mo")))</f>
        <v/>
      </c>
      <c r="U50" s="11" t="inlineStr">
        <is>
          <t>Underserved by AI agencies; large budgets; replaces full-time admin headcount; very long retention</t>
        </is>
      </c>
      <c r="V50" s="11" t="inlineStr">
        <is>
          <t>Long sales cycles (2–6 months); legacy ERPs (Epicor, SAP B1, etc.) are hard to integrate; buyers are offline, so you need referrals or cold calling</t>
        </is>
      </c>
      <c r="W50" s="5" t="n"/>
      <c r="X50" s="5" t="n"/>
      <c r="Y50" s="5" t="n"/>
      <c r="Z50" s="5" t="n"/>
    </row>
    <row r="51" ht="96" customHeight="1" s="7">
      <c r="A51" s="10" t="inlineStr">
        <is>
          <t>high-ticket SaaS companies</t>
        </is>
      </c>
      <c r="B51" s="11" t="inlineStr">
        <is>
          <t>AI outbound SDR &amp; lead enrichment</t>
        </is>
      </c>
      <c r="C51" s="11">
        <f>CONCATENATE("I build ",B51," systems for ",A51)</f>
        <v/>
      </c>
      <c r="D51" s="11">
        <f>RANK(E51,$E$46:$E$82)</f>
        <v/>
      </c>
      <c r="E51" s="12">
        <f>ROUND(G51*$C$87+H51*$C$88+I51*$C$89+J51*$C$90+K51*$C$91,2)</f>
        <v/>
      </c>
      <c r="F51" s="11">
        <f>IF(E51&gt;=7,"A – Start here",IF(E51&gt;=6,"B – Strong",IF(E51&gt;=5,"C – Possible","D – Avoid")))</f>
        <v/>
      </c>
      <c r="G51" s="13" t="n">
        <v>9</v>
      </c>
      <c r="H51" s="13" t="n">
        <v>3</v>
      </c>
      <c r="I51" s="13" t="n">
        <v>9</v>
      </c>
      <c r="J51" s="13" t="n">
        <v>5</v>
      </c>
      <c r="K51" s="13" t="n">
        <v>7</v>
      </c>
      <c r="L51" s="11" t="inlineStr">
        <is>
          <t>Very high</t>
        </is>
      </c>
      <c r="M51" s="11" t="inlineStr">
        <is>
          <t>AI SDR system: ICP list building (Clay/Apollo), signal-based enrichment, personalised cold-email sequences, inbound lead qualification and routing, CRM hygiene.</t>
        </is>
      </c>
      <c r="N51" s="11" t="inlineStr">
        <is>
          <t>B2B SaaS with $2M–$50M ARR and $10k+ ACV</t>
        </is>
      </c>
      <c r="O51" s="14" t="n">
        <v>7500</v>
      </c>
      <c r="P51" s="14" t="n">
        <v>4000</v>
      </c>
      <c r="Q51" s="11">
        <f>ROUNDUP(2000/P51,0)</f>
        <v/>
      </c>
      <c r="R51" s="11">
        <f>ROUNDUP(5000/P51,0)</f>
        <v/>
      </c>
      <c r="S51" s="11">
        <f>ROUNDUP(10000/P51,0)</f>
        <v/>
      </c>
      <c r="T51" s="11">
        <f>IF(AND(E51&gt;=6.8,S51&lt;=5),"$10k+/mo",IF(AND(E51&gt;=6,R51&lt;=4),"$5k–10k/mo",IF(E51&gt;=5,"$2k–5k/mo","Under $2k/mo")))</f>
        <v/>
      </c>
      <c r="U51" s="11" t="inlineStr">
        <is>
          <t>Biggest budgets; buyers already understand AI; room to expand into many workflows</t>
        </is>
      </c>
      <c r="V51" s="11" t="inlineStr">
        <is>
          <t>Saturated with GTM/Clay agencies and AI-SDR tools (11x, Artisan); many have in-house RevOps; demanding buyers</t>
        </is>
      </c>
      <c r="W51" s="5" t="n"/>
      <c r="X51" s="5" t="n"/>
      <c r="Y51" s="5" t="n"/>
      <c r="Z51" s="5" t="n"/>
    </row>
    <row r="52" ht="96" customHeight="1" s="7">
      <c r="A52" s="10" t="inlineStr">
        <is>
          <t>cybersecurity consultants</t>
        </is>
      </c>
      <c r="B52" s="11" t="inlineStr">
        <is>
          <t>AI security questionnaire &amp; proposal automation</t>
        </is>
      </c>
      <c r="C52" s="11">
        <f>CONCATENATE("I build ",B52," systems for ",A52)</f>
        <v/>
      </c>
      <c r="D52" s="11">
        <f>RANK(E52,$E$46:$E$82)</f>
        <v/>
      </c>
      <c r="E52" s="12">
        <f>ROUND(G52*$C$87+H52*$C$88+I52*$C$89+J52*$C$90+K52*$C$91,2)</f>
        <v/>
      </c>
      <c r="F52" s="11">
        <f>IF(E52&gt;=7,"A – Start here",IF(E52&gt;=6,"B – Strong",IF(E52&gt;=5,"C – Possible","D – Avoid")))</f>
        <v/>
      </c>
      <c r="G52" s="13" t="n">
        <v>6</v>
      </c>
      <c r="H52" s="13" t="n">
        <v>8</v>
      </c>
      <c r="I52" s="13" t="n">
        <v>9</v>
      </c>
      <c r="J52" s="13" t="n">
        <v>5</v>
      </c>
      <c r="K52" s="13" t="n">
        <v>7</v>
      </c>
      <c r="L52" s="11" t="inlineStr">
        <is>
          <t>Low</t>
        </is>
      </c>
      <c r="M52" s="11" t="inlineStr">
        <is>
          <t>RAG agent that answers security questionnaires and RFPs from past answers, auto-drafts pentest/assessment reports, plus signal-based outbound to companies facing SOC 2 / CMMC deadlines.</t>
        </is>
      </c>
      <c r="N52" s="11" t="inlineStr">
        <is>
          <t>Boutique firms with 5–100 staff; $2M–$50M revenue</t>
        </is>
      </c>
      <c r="O52" s="14" t="n">
        <v>7000</v>
      </c>
      <c r="P52" s="14" t="n">
        <v>2500</v>
      </c>
      <c r="Q52" s="11">
        <f>ROUNDUP(2000/P52,0)</f>
        <v/>
      </c>
      <c r="R52" s="11">
        <f>ROUNDUP(5000/P52,0)</f>
        <v/>
      </c>
      <c r="S52" s="11">
        <f>ROUNDUP(10000/P52,0)</f>
        <v/>
      </c>
      <c r="T52" s="11">
        <f>IF(AND(E52&gt;=6.8,S52&lt;=5),"$10k+/mo",IF(AND(E52&gt;=6,R52&lt;=4),"$5k–10k/mo",IF(E52&gt;=5,"$2k–5k/mo","Under $2k/mo")))</f>
        <v/>
      </c>
      <c r="U52" s="11" t="inlineStr">
        <is>
          <t>High deal values ($20k–$200k projects); few agencies focus here; questionnaires and reports are huge time sinks</t>
        </is>
      </c>
      <c r="V52" s="11" t="inlineStr">
        <is>
          <t>Security-paranoid buyers, so data handling must be airtight; technical teams may build it themselves; smaller number of firms</t>
        </is>
      </c>
      <c r="W52" s="5" t="n"/>
      <c r="X52" s="5" t="n"/>
      <c r="Y52" s="5" t="n"/>
      <c r="Z52" s="5" t="n"/>
    </row>
    <row r="53" ht="96" customHeight="1" s="7">
      <c r="A53" s="10" t="inlineStr">
        <is>
          <t>M&amp;A advisory firms</t>
        </is>
      </c>
      <c r="B53" s="11" t="inlineStr">
        <is>
          <t>AI deal sourcing &amp; buyer outreach</t>
        </is>
      </c>
      <c r="C53" s="11">
        <f>CONCATENATE("I build ",B53," systems for ",A53)</f>
        <v/>
      </c>
      <c r="D53" s="11">
        <f>RANK(E53,$E$46:$E$82)</f>
        <v/>
      </c>
      <c r="E53" s="12">
        <f>ROUND(G53*$C$87+H53*$C$88+I53*$C$89+J53*$C$90+K53*$C$91,2)</f>
        <v/>
      </c>
      <c r="F53" s="11">
        <f>IF(E53&gt;=7,"A – Start here",IF(E53&gt;=6,"B – Strong",IF(E53&gt;=5,"C – Possible","D – Avoid")))</f>
        <v/>
      </c>
      <c r="G53" s="13" t="n">
        <v>6</v>
      </c>
      <c r="H53" s="13" t="n">
        <v>8</v>
      </c>
      <c r="I53" s="13" t="n">
        <v>10</v>
      </c>
      <c r="J53" s="13" t="n">
        <v>4</v>
      </c>
      <c r="K53" s="13" t="n">
        <v>6</v>
      </c>
      <c r="L53" s="11" t="inlineStr">
        <is>
          <t>Low</t>
        </is>
      </c>
      <c r="M53" s="11" t="inlineStr">
        <is>
          <t>Agent that builds target lists of owners likely to sell (age, succession and growth signals), personalised owner outreach, buyer-list matching, CIM/teaser first drafts, data-room Q&amp;A.</t>
        </is>
      </c>
      <c r="N53" s="11" t="inlineStr">
        <is>
          <t>Boutique M&amp;A advisors / business brokers doing $5M–$100M deals</t>
        </is>
      </c>
      <c r="O53" s="14" t="n">
        <v>8000</v>
      </c>
      <c r="P53" s="14" t="n">
        <v>3500</v>
      </c>
      <c r="Q53" s="11">
        <f>ROUNDUP(2000/P53,0)</f>
        <v/>
      </c>
      <c r="R53" s="11">
        <f>ROUNDUP(5000/P53,0)</f>
        <v/>
      </c>
      <c r="S53" s="11">
        <f>ROUNDUP(10000/P53,0)</f>
        <v/>
      </c>
      <c r="T53" s="11">
        <f>IF(AND(E53&gt;=6.8,S53&lt;=5),"$10k+/mo",IF(AND(E53&gt;=6,R53&lt;=4),"$5k–10k/mo",IF(E53&gt;=5,"$2k–5k/mo","Under $2k/mo")))</f>
        <v/>
      </c>
      <c r="U53" s="11" t="inlineStr">
        <is>
          <t>One closed deal earns a $250k–$2M success fee, so ROI is enormous; few competitors; high budgets</t>
        </is>
      </c>
      <c r="V53" s="11" t="inlineStr">
        <is>
          <t>Small, relationship-driven market; decision-makers are hard to reach; confidentiality demands; results take months to show</t>
        </is>
      </c>
      <c r="W53" s="5" t="n"/>
      <c r="X53" s="5" t="n"/>
      <c r="Y53" s="5" t="n"/>
      <c r="Z53" s="5" t="n"/>
    </row>
    <row r="54" ht="96" customHeight="1" s="7">
      <c r="A54" s="10" t="inlineStr">
        <is>
          <t>PPC agencies</t>
        </is>
      </c>
      <c r="B54" s="11" t="inlineStr">
        <is>
          <t>AI reporting &amp; client onboarding</t>
        </is>
      </c>
      <c r="C54" s="11">
        <f>CONCATENATE("I build ",B54," systems for ",A54)</f>
        <v/>
      </c>
      <c r="D54" s="11">
        <f>RANK(E54,$E$46:$E$82)</f>
        <v/>
      </c>
      <c r="E54" s="12">
        <f>ROUND(G54*$C$87+H54*$C$88+I54*$C$89+J54*$C$90+K54*$C$91,2)</f>
        <v/>
      </c>
      <c r="F54" s="11">
        <f>IF(E54&gt;=7,"A – Start here",IF(E54&gt;=6,"B – Strong",IF(E54&gt;=5,"C – Possible","D – Avoid")))</f>
        <v/>
      </c>
      <c r="G54" s="13" t="n">
        <v>7</v>
      </c>
      <c r="H54" s="13" t="n">
        <v>5</v>
      </c>
      <c r="I54" s="13" t="n">
        <v>6</v>
      </c>
      <c r="J54" s="13" t="n">
        <v>8</v>
      </c>
      <c r="K54" s="13" t="n">
        <v>7</v>
      </c>
      <c r="L54" s="11" t="inlineStr">
        <is>
          <t>Medium</t>
        </is>
      </c>
      <c r="M54" s="11" t="inlineStr">
        <is>
          <t>Automated client reporting with AI insights, onboarding flows, ad-copy and creative-variant generation, plus outbound lead gen for the agency itself.</t>
        </is>
      </c>
      <c r="N54" s="11" t="inlineStr">
        <is>
          <t>Agencies with 3–30 staff; $500k–$5M revenue</t>
        </is>
      </c>
      <c r="O54" s="14" t="n">
        <v>3000</v>
      </c>
      <c r="P54" s="14" t="n">
        <v>1500</v>
      </c>
      <c r="Q54" s="11">
        <f>ROUNDUP(2000/P54,0)</f>
        <v/>
      </c>
      <c r="R54" s="11">
        <f>ROUNDUP(5000/P54,0)</f>
        <v/>
      </c>
      <c r="S54" s="11">
        <f>ROUNDUP(10000/P54,0)</f>
        <v/>
      </c>
      <c r="T54" s="11">
        <f>IF(AND(E54&gt;=6.8,S54&lt;=5),"$10k+/mo",IF(AND(E54&gt;=6,R54&lt;=4),"$5k–10k/mo",IF(E54&gt;=5,"$2k–5k/mo","Under $2k/mo")))</f>
        <v/>
      </c>
      <c r="U54" s="11" t="inlineStr">
        <is>
          <t>Tech-comfortable buyers who understand ROI; fast decision-makers; reporting time savings sell themselves</t>
        </is>
      </c>
      <c r="V54" s="11" t="inlineStr">
        <is>
          <t>Mid-size budgets; may copy your work; Google/Meta automation (PMax, Advantage+) is shrinking their role</t>
        </is>
      </c>
      <c r="W54" s="5" t="n"/>
      <c r="X54" s="5" t="n"/>
      <c r="Y54" s="5" t="n"/>
      <c r="Z54" s="5" t="n"/>
    </row>
    <row r="55" ht="96" customHeight="1" s="7">
      <c r="A55" s="10" t="inlineStr">
        <is>
          <t>IT consultants</t>
        </is>
      </c>
      <c r="B55" s="11" t="inlineStr">
        <is>
          <t>AI helpdesk triage &amp; client reporting</t>
        </is>
      </c>
      <c r="C55" s="11">
        <f>CONCATENATE("I build ",B55," systems for ",A55)</f>
        <v/>
      </c>
      <c r="D55" s="11">
        <f>RANK(E55,$E$46:$E$82)</f>
        <v/>
      </c>
      <c r="E55" s="12">
        <f>ROUND(G55*$C$87+H55*$C$88+I55*$C$89+J55*$C$90+K55*$C$91,2)</f>
        <v/>
      </c>
      <c r="F55" s="11">
        <f>IF(E55&gt;=7,"A – Start here",IF(E55&gt;=6,"B – Strong",IF(E55&gt;=5,"C – Possible","D – Avoid")))</f>
        <v/>
      </c>
      <c r="G55" s="13" t="n">
        <v>7</v>
      </c>
      <c r="H55" s="13" t="n">
        <v>6</v>
      </c>
      <c r="I55" s="13" t="n">
        <v>7</v>
      </c>
      <c r="J55" s="13" t="n">
        <v>5</v>
      </c>
      <c r="K55" s="13" t="n">
        <v>8</v>
      </c>
      <c r="L55" s="11" t="inlineStr">
        <is>
          <t>Medium</t>
        </is>
      </c>
      <c r="M55" s="11" t="inlineStr">
        <is>
          <t>AI ticket triage and auto-resolution of L1 tickets, QBR report generation, quote automation, outbound for new managed-service contracts. Best fit: MSPs.</t>
        </is>
      </c>
      <c r="N55" s="11" t="inlineStr">
        <is>
          <t>MSPs / IT firms with $1M–$20M revenue</t>
        </is>
      </c>
      <c r="O55" s="14" t="n">
        <v>5000</v>
      </c>
      <c r="P55" s="14" t="n">
        <v>2000</v>
      </c>
      <c r="Q55" s="11">
        <f>ROUNDUP(2000/P55,0)</f>
        <v/>
      </c>
      <c r="R55" s="11">
        <f>ROUNDUP(5000/P55,0)</f>
        <v/>
      </c>
      <c r="S55" s="11">
        <f>ROUNDUP(10000/P55,0)</f>
        <v/>
      </c>
      <c r="T55" s="11">
        <f>IF(AND(E55&gt;=6.8,S55&lt;=5),"$10k+/mo",IF(AND(E55&gt;=6,R55&lt;=4),"$5k–10k/mo",IF(E55&gt;=5,"$2k–5k/mo","Under $2k/mo")))</f>
        <v/>
      </c>
      <c r="U55" s="11" t="inlineStr">
        <is>
          <t>Recurring-revenue businesses that value efficiency; tech-literate so easy to talk to; sticky</t>
        </is>
      </c>
      <c r="V55" s="11" t="inlineStr">
        <is>
          <t>Tech-savvy owners may build it themselves; PSA vendors (ConnectWise, HaloPSA) are adding AI</t>
        </is>
      </c>
      <c r="W55" s="5" t="n"/>
      <c r="X55" s="5" t="n"/>
      <c r="Y55" s="5" t="n"/>
      <c r="Z55" s="5" t="n"/>
    </row>
    <row r="56" ht="96" customHeight="1" s="7">
      <c r="A56" s="10" t="inlineStr">
        <is>
          <t>PR agencies</t>
        </is>
      </c>
      <c r="B56" s="11" t="inlineStr">
        <is>
          <t>AI media list &amp; pitch personalisation</t>
        </is>
      </c>
      <c r="C56" s="11">
        <f>CONCATENATE("I build ",B56," systems for ",A56)</f>
        <v/>
      </c>
      <c r="D56" s="11">
        <f>RANK(E56,$E$46:$E$82)</f>
        <v/>
      </c>
      <c r="E56" s="12">
        <f>ROUND(G56*$C$87+H56*$C$88+I56*$C$89+J56*$C$90+K56*$C$91,2)</f>
        <v/>
      </c>
      <c r="F56" s="11">
        <f>IF(E56&gt;=7,"A – Start here",IF(E56&gt;=6,"B – Strong",IF(E56&gt;=5,"C – Possible","D – Avoid")))</f>
        <v/>
      </c>
      <c r="G56" s="13" t="n">
        <v>7</v>
      </c>
      <c r="H56" s="13" t="n">
        <v>6</v>
      </c>
      <c r="I56" s="13" t="n">
        <v>6</v>
      </c>
      <c r="J56" s="13" t="n">
        <v>7</v>
      </c>
      <c r="K56" s="13" t="n">
        <v>7</v>
      </c>
      <c r="L56" s="11" t="inlineStr">
        <is>
          <t>Medium</t>
        </is>
      </c>
      <c r="M56" s="11" t="inlineStr">
        <is>
          <t>Journalist list building, personalised pitch drafting, coverage monitoring with automatic client reports, new-business outreach.</t>
        </is>
      </c>
      <c r="N56" s="11" t="inlineStr">
        <is>
          <t>Agencies with 5–50 staff; $1M–$10M revenue</t>
        </is>
      </c>
      <c r="O56" s="14" t="n">
        <v>3500</v>
      </c>
      <c r="P56" s="14" t="n">
        <v>1500</v>
      </c>
      <c r="Q56" s="11">
        <f>ROUNDUP(2000/P56,0)</f>
        <v/>
      </c>
      <c r="R56" s="11">
        <f>ROUNDUP(5000/P56,0)</f>
        <v/>
      </c>
      <c r="S56" s="11">
        <f>ROUNDUP(10000/P56,0)</f>
        <v/>
      </c>
      <c r="T56" s="11">
        <f>IF(AND(E56&gt;=6.8,S56&lt;=5),"$10k+/mo",IF(AND(E56&gt;=6,R56&lt;=4),"$5k–10k/mo",IF(E56&gt;=5,"$2k–5k/mo","Under $2k/mo")))</f>
        <v/>
      </c>
      <c r="U56" s="11" t="inlineStr">
        <is>
          <t>Lots of manual research and reporting; retainer-based business so they understand retainers; AI adoption still low</t>
        </is>
      </c>
      <c r="V56" s="11" t="inlineStr">
        <is>
          <t>Moderate budgets; coverage results are hard to attribute; Muck Rack / Cision overlap</t>
        </is>
      </c>
      <c r="W56" s="5" t="n"/>
      <c r="X56" s="5" t="n"/>
      <c r="Y56" s="5" t="n"/>
      <c r="Z56" s="5" t="n"/>
    </row>
    <row r="57" ht="96" customHeight="1" s="7">
      <c r="A57" s="10" t="inlineStr">
        <is>
          <t>real estate agents</t>
        </is>
      </c>
      <c r="B57" s="11" t="inlineStr">
        <is>
          <t>AI speed-to-lead &amp; follow-up agent</t>
        </is>
      </c>
      <c r="C57" s="11">
        <f>CONCATENATE("I build ",B57," systems for ",A57)</f>
        <v/>
      </c>
      <c r="D57" s="11">
        <f>RANK(E57,$E$46:$E$82)</f>
        <v/>
      </c>
      <c r="E57" s="12">
        <f>ROUND(G57*$C$87+H57*$C$88+I57*$C$89+J57*$C$90+K57*$C$91,2)</f>
        <v/>
      </c>
      <c r="F57" s="11">
        <f>IF(E57&gt;=7,"A – Start here",IF(E57&gt;=6,"B – Strong",IF(E57&gt;=5,"C – Possible","D – Avoid")))</f>
        <v/>
      </c>
      <c r="G57" s="13" t="n">
        <v>9</v>
      </c>
      <c r="H57" s="13" t="n">
        <v>3</v>
      </c>
      <c r="I57" s="13" t="n">
        <v>6</v>
      </c>
      <c r="J57" s="13" t="n">
        <v>7</v>
      </c>
      <c r="K57" s="13" t="n">
        <v>6</v>
      </c>
      <c r="L57" s="11" t="inlineStr">
        <is>
          <t>Very high</t>
        </is>
      </c>
      <c r="M57" s="11" t="inlineStr">
        <is>
          <t>AI voice/SMS agent that answers Zillow and website leads in under 60 seconds, qualifies them, books showings, runs long-term nurture and database reactivation. Target teams and brokerages, not solo agents.</t>
        </is>
      </c>
      <c r="N57" s="11" t="inlineStr">
        <is>
          <t>Teams of 5–50 agents / brokerages</t>
        </is>
      </c>
      <c r="O57" s="14" t="n">
        <v>3000</v>
      </c>
      <c r="P57" s="14" t="n">
        <v>1500</v>
      </c>
      <c r="Q57" s="11">
        <f>ROUNDUP(2000/P57,0)</f>
        <v/>
      </c>
      <c r="R57" s="11">
        <f>ROUNDUP(5000/P57,0)</f>
        <v/>
      </c>
      <c r="S57" s="11">
        <f>ROUNDUP(10000/P57,0)</f>
        <v/>
      </c>
      <c r="T57" s="11">
        <f>IF(AND(E57&gt;=6.8,S57&lt;=5),"$10k+/mo",IF(AND(E57&gt;=6,R57&lt;=4),"$5k–10k/mo",IF(E57&gt;=5,"$2k–5k/mo","Under $2k/mo")))</f>
        <v/>
      </c>
      <c r="U57" s="11" t="inlineStr">
        <is>
          <t>Massive market; obvious ROI (one extra deal = $10k+ commission); very easy to demo</t>
        </is>
      </c>
      <c r="V57" s="11" t="inlineStr">
        <is>
          <t>Most saturated AI niche (GoHighLevel agencies everywhere); solo agents are cash-poor and churn; sensitive to interest rates</t>
        </is>
      </c>
      <c r="W57" s="5" t="n"/>
      <c r="X57" s="5" t="n"/>
      <c r="Y57" s="5" t="n"/>
      <c r="Z57" s="5" t="n"/>
    </row>
    <row r="58" ht="96" customHeight="1" s="7">
      <c r="A58" s="10" t="inlineStr">
        <is>
          <t>architecture firms</t>
        </is>
      </c>
      <c r="B58" s="11" t="inlineStr">
        <is>
          <t>AI RFP &amp; proposal generation</t>
        </is>
      </c>
      <c r="C58" s="11">
        <f>CONCATENATE("I build ",B58," systems for ",A58)</f>
        <v/>
      </c>
      <c r="D58" s="11">
        <f>RANK(E58,$E$46:$E$82)</f>
        <v/>
      </c>
      <c r="E58" s="12">
        <f>ROUND(G58*$C$87+H58*$C$88+I58*$C$89+J58*$C$90+K58*$C$91,2)</f>
        <v/>
      </c>
      <c r="F58" s="11">
        <f>IF(E58&gt;=7,"A – Start here",IF(E58&gt;=6,"B – Strong",IF(E58&gt;=5,"C – Possible","D – Avoid")))</f>
        <v/>
      </c>
      <c r="G58" s="13" t="n">
        <v>6</v>
      </c>
      <c r="H58" s="13" t="n">
        <v>8</v>
      </c>
      <c r="I58" s="13" t="n">
        <v>7</v>
      </c>
      <c r="J58" s="13" t="n">
        <v>5</v>
      </c>
      <c r="K58" s="13" t="n">
        <v>6</v>
      </c>
      <c r="L58" s="11" t="inlineStr">
        <is>
          <t>Low</t>
        </is>
      </c>
      <c r="M58" s="11" t="inlineStr">
        <is>
          <t>RAG system over past proposals and projects that drafts RFP responses, AI code/zoning research assistant, meeting notes and project documentation, BD outreach to developers.</t>
        </is>
      </c>
      <c r="N58" s="11" t="inlineStr">
        <is>
          <t>Firms with 10–150 staff; $2M–$40M revenue</t>
        </is>
      </c>
      <c r="O58" s="14" t="n">
        <v>6000</v>
      </c>
      <c r="P58" s="14" t="n">
        <v>2000</v>
      </c>
      <c r="Q58" s="11">
        <f>ROUNDUP(2000/P58,0)</f>
        <v/>
      </c>
      <c r="R58" s="11">
        <f>ROUNDUP(5000/P58,0)</f>
        <v/>
      </c>
      <c r="S58" s="11">
        <f>ROUNDUP(10000/P58,0)</f>
        <v/>
      </c>
      <c r="T58" s="11">
        <f>IF(AND(E58&gt;=6.8,S58&lt;=5),"$10k+/mo",IF(AND(E58&gt;=6,R58&lt;=4),"$5k–10k/mo",IF(E58&gt;=5,"$2k–5k/mo","Under $2k/mo")))</f>
        <v/>
      </c>
      <c r="U58" s="11" t="inlineStr">
        <is>
          <t>Proposal writing burns huge billable hours; underserved; high project values</t>
        </is>
      </c>
      <c r="V58" s="11" t="inlineStr">
        <is>
          <t>Traditional, slow adopters; design-focused culture; project-based cash flow</t>
        </is>
      </c>
      <c r="W58" s="5" t="n"/>
      <c r="X58" s="5" t="n"/>
      <c r="Y58" s="5" t="n"/>
      <c r="Z58" s="5" t="n"/>
    </row>
    <row r="59" ht="96" customHeight="1" s="7">
      <c r="A59" s="10" t="inlineStr">
        <is>
          <t>crisis management companies</t>
        </is>
      </c>
      <c r="B59" s="11" t="inlineStr">
        <is>
          <t>AI media &amp; sentiment monitoring</t>
        </is>
      </c>
      <c r="C59" s="11">
        <f>CONCATENATE("I build ",B59," systems for ",A59)</f>
        <v/>
      </c>
      <c r="D59" s="11">
        <f>RANK(E59,$E$46:$E$82)</f>
        <v/>
      </c>
      <c r="E59" s="12">
        <f>ROUND(G59*$C$87+H59*$C$88+I59*$C$89+J59*$C$90+K59*$C$91,2)</f>
        <v/>
      </c>
      <c r="F59" s="11">
        <f>IF(E59&gt;=7,"A – Start here",IF(E59&gt;=6,"B – Strong",IF(E59&gt;=5,"C – Possible","D – Avoid")))</f>
        <v/>
      </c>
      <c r="G59" s="13" t="n">
        <v>5</v>
      </c>
      <c r="H59" s="13" t="n">
        <v>8</v>
      </c>
      <c r="I59" s="13" t="n">
        <v>8</v>
      </c>
      <c r="J59" s="13" t="n">
        <v>4</v>
      </c>
      <c r="K59" s="13" t="n">
        <v>6</v>
      </c>
      <c r="L59" s="11" t="inlineStr">
        <is>
          <t>Low</t>
        </is>
      </c>
      <c r="M59" s="11" t="inlineStr">
        <is>
          <t>Real-time news and social monitoring with AI severity alerts, rapid statement drafting, stakeholder briefing packs, post-crisis reporting.</t>
        </is>
      </c>
      <c r="N59" s="11" t="inlineStr">
        <is>
          <t>Boutique firms serving corporates; $2M–$20M revenue</t>
        </is>
      </c>
      <c r="O59" s="14" t="n">
        <v>6000</v>
      </c>
      <c r="P59" s="14" t="n">
        <v>2500</v>
      </c>
      <c r="Q59" s="11">
        <f>ROUNDUP(2000/P59,0)</f>
        <v/>
      </c>
      <c r="R59" s="11">
        <f>ROUNDUP(5000/P59,0)</f>
        <v/>
      </c>
      <c r="S59" s="11">
        <f>ROUNDUP(10000/P59,0)</f>
        <v/>
      </c>
      <c r="T59" s="11">
        <f>IF(AND(E59&gt;=6.8,S59&lt;=5),"$10k+/mo",IF(AND(E59&gt;=6,R59&lt;=4),"$5k–10k/mo",IF(E59&gt;=5,"$2k–5k/mo","Under $2k/mo")))</f>
        <v/>
      </c>
      <c r="U59" s="11" t="inlineStr">
        <is>
          <t>High-value clients; speed is literally their product; almost no AI agencies here</t>
        </is>
      </c>
      <c r="V59" s="11" t="inlineStr">
        <is>
          <t>Small niche with few firms; enterprise tools (Meltwater, Brandwatch) overlap; strict confidentiality</t>
        </is>
      </c>
      <c r="W59" s="5" t="n"/>
      <c r="X59" s="5" t="n"/>
      <c r="Y59" s="5" t="n"/>
      <c r="Z59" s="5" t="n"/>
    </row>
    <row r="60" ht="96" customHeight="1" s="7">
      <c r="A60" s="10" t="inlineStr">
        <is>
          <t>green tech companies</t>
        </is>
      </c>
      <c r="B60" s="11" t="inlineStr">
        <is>
          <t>AI appointment setting &amp; proposal automation</t>
        </is>
      </c>
      <c r="C60" s="11">
        <f>CONCATENATE("I build ",B60," systems for ",A60)</f>
        <v/>
      </c>
      <c r="D60" s="11">
        <f>RANK(E60,$E$46:$E$82)</f>
        <v/>
      </c>
      <c r="E60" s="12">
        <f>ROUND(G60*$C$87+H60*$C$88+I60*$C$89+J60*$C$90+K60*$C$91,2)</f>
        <v/>
      </c>
      <c r="F60" s="11">
        <f>IF(E60&gt;=7,"A – Start here",IF(E60&gt;=6,"B – Strong",IF(E60&gt;=5,"C – Possible","D – Avoid")))</f>
        <v/>
      </c>
      <c r="G60" s="13" t="n">
        <v>7</v>
      </c>
      <c r="H60" s="13" t="n">
        <v>5</v>
      </c>
      <c r="I60" s="13" t="n">
        <v>6</v>
      </c>
      <c r="J60" s="13" t="n">
        <v>6</v>
      </c>
      <c r="K60" s="13" t="n">
        <v>6</v>
      </c>
      <c r="L60" s="11" t="inlineStr">
        <is>
          <t>Medium</t>
        </is>
      </c>
      <c r="M60" s="11" t="inlineStr">
        <is>
          <t>AI lead qualification and appointment booking (voice/SMS), auto-generated proposals and quotes, incentive/rebate paperwork automation. Best fit: solar, battery, HVAC/heat-pump installers.</t>
        </is>
      </c>
      <c r="N60" s="11" t="inlineStr">
        <is>
          <t>Installers / energy firms with $2M–$50M revenue</t>
        </is>
      </c>
      <c r="O60" s="14" t="n">
        <v>4000</v>
      </c>
      <c r="P60" s="14" t="n">
        <v>2000</v>
      </c>
      <c r="Q60" s="11">
        <f>ROUNDUP(2000/P60,0)</f>
        <v/>
      </c>
      <c r="R60" s="11">
        <f>ROUNDUP(5000/P60,0)</f>
        <v/>
      </c>
      <c r="S60" s="11">
        <f>ROUNDUP(10000/P60,0)</f>
        <v/>
      </c>
      <c r="T60" s="11">
        <f>IF(AND(E60&gt;=6.8,S60&lt;=5),"$10k+/mo",IF(AND(E60&gt;=6,R60&lt;=4),"$5k–10k/mo",IF(E60&gt;=5,"$2k–5k/mo","Under $2k/mo")))</f>
        <v/>
      </c>
      <c r="U60" s="11" t="inlineStr">
        <is>
          <t>High job values ($15k–$60k); lead-heavy businesses; clear ROI</t>
        </is>
      </c>
      <c r="V60" s="11" t="inlineStr">
        <is>
          <t>Federal residential solar credit ended after 2025, so the sector is contracting; policy-dependent; many lead-gen agencies already there</t>
        </is>
      </c>
      <c r="W60" s="5" t="n"/>
      <c r="X60" s="5" t="n"/>
      <c r="Y60" s="5" t="n"/>
      <c r="Z60" s="5" t="n"/>
    </row>
    <row r="61" ht="96" customHeight="1" s="7">
      <c r="A61" s="10" t="inlineStr">
        <is>
          <t>interior designers</t>
        </is>
      </c>
      <c r="B61" s="11" t="inlineStr">
        <is>
          <t>AI lead qualification &amp; sourcing</t>
        </is>
      </c>
      <c r="C61" s="11">
        <f>CONCATENATE("I build ",B61," systems for ",A61)</f>
        <v/>
      </c>
      <c r="D61" s="11">
        <f>RANK(E61,$E$46:$E$82)</f>
        <v/>
      </c>
      <c r="E61" s="12">
        <f>ROUND(G61*$C$87+H61*$C$88+I61*$C$89+J61*$C$90+K61*$C$91,2)</f>
        <v/>
      </c>
      <c r="F61" s="11">
        <f>IF(E61&gt;=7,"A – Start here",IF(E61&gt;=6,"B – Strong",IF(E61&gt;=5,"C – Possible","D – Avoid")))</f>
        <v/>
      </c>
      <c r="G61" s="13" t="n">
        <v>6</v>
      </c>
      <c r="H61" s="13" t="n">
        <v>7</v>
      </c>
      <c r="I61" s="13" t="n">
        <v>5</v>
      </c>
      <c r="J61" s="13" t="n">
        <v>7</v>
      </c>
      <c r="K61" s="13" t="n">
        <v>5</v>
      </c>
      <c r="L61" s="11" t="inlineStr">
        <is>
          <t>Low-medium</t>
        </is>
      </c>
      <c r="M61" s="11" t="inlineStr">
        <is>
          <t>Inquiry qualification and booking, AI mood boards and renders, product sourcing and pricing sheets, automated client project updates.</t>
        </is>
      </c>
      <c r="N61" s="11" t="inlineStr">
        <is>
          <t>Studios with 2–20 staff; high-end residential / commercial</t>
        </is>
      </c>
      <c r="O61" s="14" t="n">
        <v>3000</v>
      </c>
      <c r="P61" s="14" t="n">
        <v>1200</v>
      </c>
      <c r="Q61" s="11">
        <f>ROUNDUP(2000/P61,0)</f>
        <v/>
      </c>
      <c r="R61" s="11">
        <f>ROUNDUP(5000/P61,0)</f>
        <v/>
      </c>
      <c r="S61" s="11">
        <f>ROUNDUP(10000/P61,0)</f>
        <v/>
      </c>
      <c r="T61" s="11">
        <f>IF(AND(E61&gt;=6.8,S61&lt;=5),"$10k+/mo",IF(AND(E61&gt;=6,R61&lt;=4),"$5k–10k/mo",IF(E61&gt;=5,"$2k–5k/mo","Under $2k/mo")))</f>
        <v/>
      </c>
      <c r="U61" s="11" t="inlineStr">
        <is>
          <t>Affluent clients and high project values; admin-heavy; low AI adoption</t>
        </is>
      </c>
      <c r="V61" s="11" t="inlineStr">
        <is>
          <t>Many solo designers with small budgets; aesthetics-first, less process-minded</t>
        </is>
      </c>
      <c r="W61" s="5" t="n"/>
      <c r="X61" s="5" t="n"/>
      <c r="Y61" s="5" t="n"/>
      <c r="Z61" s="5" t="n"/>
    </row>
    <row r="62" ht="96" customHeight="1" s="7">
      <c r="A62" s="10" t="inlineStr">
        <is>
          <t>CRO agencies</t>
        </is>
      </c>
      <c r="B62" s="11" t="inlineStr">
        <is>
          <t>AI audit &amp; experiment automation</t>
        </is>
      </c>
      <c r="C62" s="11">
        <f>CONCATENATE("I build ",B62," systems for ",A62)</f>
        <v/>
      </c>
      <c r="D62" s="11">
        <f>RANK(E62,$E$46:$E$82)</f>
        <v/>
      </c>
      <c r="E62" s="12">
        <f>ROUND(G62*$C$87+H62*$C$88+I62*$C$89+J62*$C$90+K62*$C$91,2)</f>
        <v/>
      </c>
      <c r="F62" s="11">
        <f>IF(E62&gt;=7,"A – Start here",IF(E62&gt;=6,"B – Strong",IF(E62&gt;=5,"C – Possible","D – Avoid")))</f>
        <v/>
      </c>
      <c r="G62" s="13" t="n">
        <v>5</v>
      </c>
      <c r="H62" s="13" t="n">
        <v>6</v>
      </c>
      <c r="I62" s="13" t="n">
        <v>6</v>
      </c>
      <c r="J62" s="13" t="n">
        <v>7</v>
      </c>
      <c r="K62" s="13" t="n">
        <v>6</v>
      </c>
      <c r="L62" s="11" t="inlineStr">
        <is>
          <t>Medium-low</t>
        </is>
      </c>
      <c r="M62" s="11" t="inlineStr">
        <is>
          <t>AI-generated CRO audits (analytics and heatmap summaries), test-hypothesis backlog, automated reporting, outbound for new clients.</t>
        </is>
      </c>
      <c r="N62" s="11" t="inlineStr">
        <is>
          <t>Agencies with 3–20 staff</t>
        </is>
      </c>
      <c r="O62" s="14" t="n">
        <v>3000</v>
      </c>
      <c r="P62" s="14" t="n">
        <v>1500</v>
      </c>
      <c r="Q62" s="11">
        <f>ROUNDUP(2000/P62,0)</f>
        <v/>
      </c>
      <c r="R62" s="11">
        <f>ROUNDUP(5000/P62,0)</f>
        <v/>
      </c>
      <c r="S62" s="11">
        <f>ROUNDUP(10000/P62,0)</f>
        <v/>
      </c>
      <c r="T62" s="11">
        <f>IF(AND(E62&gt;=6.8,S62&lt;=5),"$10k+/mo",IF(AND(E62&gt;=6,R62&lt;=4),"$5k–10k/mo",IF(E62&gt;=5,"$2k–5k/mo","Under $2k/mo")))</f>
        <v/>
      </c>
      <c r="U62" s="11" t="inlineStr">
        <is>
          <t>Data-driven buyers who understand ROI; audits are easy to productise</t>
        </is>
      </c>
      <c r="V62" s="11" t="inlineStr">
        <is>
          <t>Small niche; tech-savvy buyers may DIY; moderate budgets</t>
        </is>
      </c>
      <c r="W62" s="5" t="n"/>
      <c r="X62" s="5" t="n"/>
      <c r="Y62" s="5" t="n"/>
      <c r="Z62" s="5" t="n"/>
    </row>
    <row r="63" ht="96" customHeight="1" s="7">
      <c r="A63" s="10" t="inlineStr">
        <is>
          <t>project management consultants</t>
        </is>
      </c>
      <c r="B63" s="11" t="inlineStr">
        <is>
          <t>AI status reporting &amp; proposals</t>
        </is>
      </c>
      <c r="C63" s="11">
        <f>CONCATENATE("I build ",B63," systems for ",A63)</f>
        <v/>
      </c>
      <c r="D63" s="11">
        <f>RANK(E63,$E$46:$E$82)</f>
        <v/>
      </c>
      <c r="E63" s="12">
        <f>ROUND(G63*$C$87+H63*$C$88+I63*$C$89+J63*$C$90+K63*$C$91,2)</f>
        <v/>
      </c>
      <c r="F63" s="11">
        <f>IF(E63&gt;=7,"A – Start here",IF(E63&gt;=6,"B – Strong",IF(E63&gt;=5,"C – Possible","D – Avoid")))</f>
        <v/>
      </c>
      <c r="G63" s="13" t="n">
        <v>5</v>
      </c>
      <c r="H63" s="13" t="n">
        <v>7</v>
      </c>
      <c r="I63" s="13" t="n">
        <v>6</v>
      </c>
      <c r="J63" s="13" t="n">
        <v>6</v>
      </c>
      <c r="K63" s="13" t="n">
        <v>5</v>
      </c>
      <c r="L63" s="11" t="inlineStr">
        <is>
          <t>Low</t>
        </is>
      </c>
      <c r="M63" s="11" t="inlineStr">
        <is>
          <t>Automated status reports pulled from PM tools, meeting notes to action items, proposal drafting, lead gen.</t>
        </is>
      </c>
      <c r="N63" s="11" t="inlineStr">
        <is>
          <t>Boutique consultancies with 2–30 staff</t>
        </is>
      </c>
      <c r="O63" s="14" t="n">
        <v>3500</v>
      </c>
      <c r="P63" s="14" t="n">
        <v>1500</v>
      </c>
      <c r="Q63" s="11">
        <f>ROUNDUP(2000/P63,0)</f>
        <v/>
      </c>
      <c r="R63" s="11">
        <f>ROUNDUP(5000/P63,0)</f>
        <v/>
      </c>
      <c r="S63" s="11">
        <f>ROUNDUP(10000/P63,0)</f>
        <v/>
      </c>
      <c r="T63" s="11">
        <f>IF(AND(E63&gt;=6.8,S63&lt;=5),"$10k+/mo",IF(AND(E63&gt;=6,R63&lt;=4),"$5k–10k/mo",IF(E63&gt;=5,"$2k–5k/mo","Under $2k/mo")))</f>
        <v/>
      </c>
      <c r="U63" s="11" t="inlineStr">
        <is>
          <t>Process-minded buyers; reporting is repetitive and easy to automate</t>
        </is>
      </c>
      <c r="V63" s="11" t="inlineStr">
        <is>
          <t>Fragmented, many solo consultants; Asana / Monday / ClickUp ship native AI</t>
        </is>
      </c>
      <c r="W63" s="5" t="n"/>
      <c r="X63" s="5" t="n"/>
      <c r="Y63" s="5" t="n"/>
      <c r="Z63" s="5" t="n"/>
    </row>
    <row r="64" ht="96" customHeight="1" s="7">
      <c r="A64" s="10" t="inlineStr">
        <is>
          <t>software consultancies</t>
        </is>
      </c>
      <c r="B64" s="11" t="inlineStr">
        <is>
          <t>AI RFP response &amp; QA automation</t>
        </is>
      </c>
      <c r="C64" s="11">
        <f>CONCATENATE("I build ",B64," systems for ",A64)</f>
        <v/>
      </c>
      <c r="D64" s="11">
        <f>RANK(E64,$E$46:$E$82)</f>
        <v/>
      </c>
      <c r="E64" s="12">
        <f>ROUND(G64*$C$87+H64*$C$88+I64*$C$89+J64*$C$90+K64*$C$91,2)</f>
        <v/>
      </c>
      <c r="F64" s="11">
        <f>IF(E64&gt;=7,"A – Start here",IF(E64&gt;=6,"B – Strong",IF(E64&gt;=5,"C – Possible","D – Avoid")))</f>
        <v/>
      </c>
      <c r="G64" s="13" t="n">
        <v>6</v>
      </c>
      <c r="H64" s="13" t="n">
        <v>4</v>
      </c>
      <c r="I64" s="13" t="n">
        <v>7</v>
      </c>
      <c r="J64" s="13" t="n">
        <v>5</v>
      </c>
      <c r="K64" s="13" t="n">
        <v>6</v>
      </c>
      <c r="L64" s="11" t="inlineStr">
        <is>
          <t>High</t>
        </is>
      </c>
      <c r="M64" s="11" t="inlineStr">
        <is>
          <t>RAG proposal engine, AI test-case generation, outbound to companies hiring for tech roles.</t>
        </is>
      </c>
      <c r="N64" s="11" t="inlineStr">
        <is>
          <t>Consultancies with 10–200 staff</t>
        </is>
      </c>
      <c r="O64" s="14" t="n">
        <v>5000</v>
      </c>
      <c r="P64" s="14" t="n">
        <v>2000</v>
      </c>
      <c r="Q64" s="11">
        <f>ROUNDUP(2000/P64,0)</f>
        <v/>
      </c>
      <c r="R64" s="11">
        <f>ROUNDUP(5000/P64,0)</f>
        <v/>
      </c>
      <c r="S64" s="11">
        <f>ROUNDUP(10000/P64,0)</f>
        <v/>
      </c>
      <c r="T64" s="11">
        <f>IF(AND(E64&gt;=6.8,S64&lt;=5),"$10k+/mo",IF(AND(E64&gt;=6,R64&lt;=4),"$5k–10k/mo",IF(E64&gt;=5,"$2k–5k/mo","Under $2k/mo")))</f>
        <v/>
      </c>
      <c r="U64" s="11" t="inlineStr">
        <is>
          <t>Big budgets and high deal values</t>
        </is>
      </c>
      <c r="V64" s="11" t="inlineStr">
        <is>
          <t>Technical buyers often build AI themselves or compete with you</t>
        </is>
      </c>
      <c r="W64" s="5" t="n"/>
      <c r="X64" s="5" t="n"/>
      <c r="Y64" s="5" t="n"/>
      <c r="Z64" s="5" t="n"/>
    </row>
    <row r="65" ht="96" customHeight="1" s="7">
      <c r="A65" s="10" t="inlineStr">
        <is>
          <t>mobile app developers</t>
        </is>
      </c>
      <c r="B65" s="11" t="inlineStr">
        <is>
          <t>AI lead gen &amp; project scoping</t>
        </is>
      </c>
      <c r="C65" s="11">
        <f>CONCATENATE("I build ",B65," systems for ",A65)</f>
        <v/>
      </c>
      <c r="D65" s="11">
        <f>RANK(E65,$E$46:$E$82)</f>
        <v/>
      </c>
      <c r="E65" s="12">
        <f>ROUND(G65*$C$87+H65*$C$88+I65*$C$89+J65*$C$90+K65*$C$91,2)</f>
        <v/>
      </c>
      <c r="F65" s="11">
        <f>IF(E65&gt;=7,"A – Start here",IF(E65&gt;=6,"B – Strong",IF(E65&gt;=5,"C – Possible","D – Avoid")))</f>
        <v/>
      </c>
      <c r="G65" s="13" t="n">
        <v>5</v>
      </c>
      <c r="H65" s="13" t="n">
        <v>5</v>
      </c>
      <c r="I65" s="13" t="n">
        <v>7</v>
      </c>
      <c r="J65" s="13" t="n">
        <v>6</v>
      </c>
      <c r="K65" s="13" t="n">
        <v>5</v>
      </c>
      <c r="L65" s="11" t="inlineStr">
        <is>
          <t>Medium</t>
        </is>
      </c>
      <c r="M65" s="11" t="inlineStr">
        <is>
          <t>Outbound lead gen to funded startups, AI project scoping and estimate generation, automated client updates.</t>
        </is>
      </c>
      <c r="N65" s="11" t="inlineStr">
        <is>
          <t>Dev shops with 5–50 staff</t>
        </is>
      </c>
      <c r="O65" s="14" t="n">
        <v>4000</v>
      </c>
      <c r="P65" s="14" t="n">
        <v>1500</v>
      </c>
      <c r="Q65" s="11">
        <f>ROUNDUP(2000/P65,0)</f>
        <v/>
      </c>
      <c r="R65" s="11">
        <f>ROUNDUP(5000/P65,0)</f>
        <v/>
      </c>
      <c r="S65" s="11">
        <f>ROUNDUP(10000/P65,0)</f>
        <v/>
      </c>
      <c r="T65" s="11">
        <f>IF(AND(E65&gt;=6.8,S65&lt;=5),"$10k+/mo",IF(AND(E65&gt;=6,R65&lt;=4),"$5k–10k/mo",IF(E65&gt;=5,"$2k–5k/mo","Under $2k/mo")))</f>
        <v/>
      </c>
      <c r="U65" s="11" t="inlineStr">
        <is>
          <t>Large project values ($50k+); they need steady deal flow</t>
        </is>
      </c>
      <c r="V65" s="11" t="inlineStr">
        <is>
          <t>Developers can build automations themselves; offshore price competition squeezes their budgets</t>
        </is>
      </c>
      <c r="W65" s="5" t="n"/>
      <c r="X65" s="5" t="n"/>
      <c r="Y65" s="5" t="n"/>
      <c r="Z65" s="5" t="n"/>
    </row>
    <row r="66" ht="96" customHeight="1" s="7">
      <c r="A66" s="10" t="inlineStr">
        <is>
          <t>social media marketing agencies</t>
        </is>
      </c>
      <c r="B66" s="11" t="inlineStr">
        <is>
          <t>AI content repurposing &amp; reporting</t>
        </is>
      </c>
      <c r="C66" s="11">
        <f>CONCATENATE("I build ",B66," systems for ",A66)</f>
        <v/>
      </c>
      <c r="D66" s="11">
        <f>RANK(E66,$E$46:$E$82)</f>
        <v/>
      </c>
      <c r="E66" s="12">
        <f>ROUND(G66*$C$87+H66*$C$88+I66*$C$89+J66*$C$90+K66*$C$91,2)</f>
        <v/>
      </c>
      <c r="F66" s="11">
        <f>IF(E66&gt;=7,"A – Start here",IF(E66&gt;=6,"B – Strong",IF(E66&gt;=5,"C – Possible","D – Avoid")))</f>
        <v/>
      </c>
      <c r="G66" s="13" t="n">
        <v>6</v>
      </c>
      <c r="H66" s="13" t="n">
        <v>4</v>
      </c>
      <c r="I66" s="13" t="n">
        <v>5</v>
      </c>
      <c r="J66" s="13" t="n">
        <v>7</v>
      </c>
      <c r="K66" s="13" t="n">
        <v>6</v>
      </c>
      <c r="L66" s="11" t="inlineStr">
        <is>
          <t>High</t>
        </is>
      </c>
      <c r="M66" s="11" t="inlineStr">
        <is>
          <t>Long-form to short-form content pipelines, caption/post generation, automated client reports, onboarding automation.</t>
        </is>
      </c>
      <c r="N66" s="11" t="inlineStr">
        <is>
          <t>Agencies with 2–20 staff</t>
        </is>
      </c>
      <c r="O66" s="14" t="n">
        <v>2500</v>
      </c>
      <c r="P66" s="14" t="n">
        <v>1000</v>
      </c>
      <c r="Q66" s="11">
        <f>ROUNDUP(2000/P66,0)</f>
        <v/>
      </c>
      <c r="R66" s="11">
        <f>ROUNDUP(5000/P66,0)</f>
        <v/>
      </c>
      <c r="S66" s="11">
        <f>ROUNDUP(10000/P66,0)</f>
        <v/>
      </c>
      <c r="T66" s="11">
        <f>IF(AND(E66&gt;=6.8,S66&lt;=5),"$10k+/mo",IF(AND(E66&gt;=6,R66&lt;=4),"$5k–10k/mo",IF(E66&gt;=5,"$2k–5k/mo","Under $2k/mo")))</f>
        <v/>
      </c>
      <c r="U66" s="11" t="inlineStr">
        <is>
          <t>Huge number of agencies; easy to reach online; they understand content</t>
        </is>
      </c>
      <c r="V66" s="11" t="inlineStr">
        <is>
          <t>Thin margins and high client churn; many DIY with AI tools; price-sensitive</t>
        </is>
      </c>
      <c r="W66" s="5" t="n"/>
      <c r="X66" s="5" t="n"/>
      <c r="Y66" s="5" t="n"/>
      <c r="Z66" s="5" t="n"/>
    </row>
    <row r="67" ht="96" customHeight="1" s="7">
      <c r="A67" s="10" t="inlineStr">
        <is>
          <t>SEO specialists</t>
        </is>
      </c>
      <c r="B67" s="11" t="inlineStr">
        <is>
          <t>AI content briefs &amp; programmatic SEO</t>
        </is>
      </c>
      <c r="C67" s="11">
        <f>CONCATENATE("I build ",B67," systems for ",A67)</f>
        <v/>
      </c>
      <c r="D67" s="11">
        <f>RANK(E67,$E$46:$E$82)</f>
        <v/>
      </c>
      <c r="E67" s="12">
        <f>ROUND(G67*$C$87+H67*$C$88+I67*$C$89+J67*$C$90+K67*$C$91,2)</f>
        <v/>
      </c>
      <c r="F67" s="11">
        <f>IF(E67&gt;=7,"A – Start here",IF(E67&gt;=6,"B – Strong",IF(E67&gt;=5,"C – Possible","D – Avoid")))</f>
        <v/>
      </c>
      <c r="G67" s="13" t="n">
        <v>6</v>
      </c>
      <c r="H67" s="13" t="n">
        <v>4</v>
      </c>
      <c r="I67" s="13" t="n">
        <v>5</v>
      </c>
      <c r="J67" s="13" t="n">
        <v>7</v>
      </c>
      <c r="K67" s="13" t="n">
        <v>6</v>
      </c>
      <c r="L67" s="11" t="inlineStr">
        <is>
          <t>High</t>
        </is>
      </c>
      <c r="M67" s="11" t="inlineStr">
        <is>
          <t>Keyword to brief to draft pipelines, programmatic pages, AI-search (GEO) visibility monitoring, automated reporting.</t>
        </is>
      </c>
      <c r="N67" s="11" t="inlineStr">
        <is>
          <t>Freelancers and agencies with 1–20 staff</t>
        </is>
      </c>
      <c r="O67" s="14" t="n">
        <v>2500</v>
      </c>
      <c r="P67" s="14" t="n">
        <v>1200</v>
      </c>
      <c r="Q67" s="11">
        <f>ROUNDUP(2000/P67,0)</f>
        <v/>
      </c>
      <c r="R67" s="11">
        <f>ROUNDUP(5000/P67,0)</f>
        <v/>
      </c>
      <c r="S67" s="11">
        <f>ROUNDUP(10000/P67,0)</f>
        <v/>
      </c>
      <c r="T67" s="11">
        <f>IF(AND(E67&gt;=6.8,S67&lt;=5),"$10k+/mo",IF(AND(E67&gt;=6,R67&lt;=4),"$5k–10k/mo",IF(E67&gt;=5,"$2k–5k/mo","Under $2k/mo")))</f>
        <v/>
      </c>
      <c r="U67" s="11" t="inlineStr">
        <is>
          <t>Understand automation value; large content volumes</t>
        </is>
      </c>
      <c r="V67" s="11" t="inlineStr">
        <is>
          <t>SEO is being disrupted by AI search / zero-click; many small-budget freelancers; DIY-prone</t>
        </is>
      </c>
      <c r="W67" s="5" t="n"/>
      <c r="X67" s="5" t="n"/>
      <c r="Y67" s="5" t="n"/>
      <c r="Z67" s="5" t="n"/>
    </row>
    <row r="68" ht="96" customHeight="1" s="7">
      <c r="A68" s="10" t="inlineStr">
        <is>
          <t>e-learning consultants</t>
        </is>
      </c>
      <c r="B68" s="11" t="inlineStr">
        <is>
          <t>AI course content production</t>
        </is>
      </c>
      <c r="C68" s="11">
        <f>CONCATENATE("I build ",B68," systems for ",A68)</f>
        <v/>
      </c>
      <c r="D68" s="11">
        <f>RANK(E68,$E$46:$E$82)</f>
        <v/>
      </c>
      <c r="E68" s="12">
        <f>ROUND(G68*$C$87+H68*$C$88+I68*$C$89+J68*$C$90+K68*$C$91,2)</f>
        <v/>
      </c>
      <c r="F68" s="11">
        <f>IF(E68&gt;=7,"A – Start here",IF(E68&gt;=6,"B – Strong",IF(E68&gt;=5,"C – Possible","D – Avoid")))</f>
        <v/>
      </c>
      <c r="G68" s="13" t="n">
        <v>6</v>
      </c>
      <c r="H68" s="13" t="n">
        <v>6</v>
      </c>
      <c r="I68" s="13" t="n">
        <v>5</v>
      </c>
      <c r="J68" s="13" t="n">
        <v>6</v>
      </c>
      <c r="K68" s="13" t="n">
        <v>5</v>
      </c>
      <c r="L68" s="11" t="inlineStr">
        <is>
          <t>Medium</t>
        </is>
      </c>
      <c r="M68" s="11" t="inlineStr">
        <is>
          <t>AI course outlines, scripts, quiz generation, voice-over/video pipelines, learner-support chatbot.</t>
        </is>
      </c>
      <c r="N68" s="11" t="inlineStr">
        <is>
          <t>L&amp;D consultancies and course businesses</t>
        </is>
      </c>
      <c r="O68" s="14" t="n">
        <v>3500</v>
      </c>
      <c r="P68" s="14" t="n">
        <v>1200</v>
      </c>
      <c r="Q68" s="11">
        <f>ROUNDUP(2000/P68,0)</f>
        <v/>
      </c>
      <c r="R68" s="11">
        <f>ROUNDUP(5000/P68,0)</f>
        <v/>
      </c>
      <c r="S68" s="11">
        <f>ROUNDUP(10000/P68,0)</f>
        <v/>
      </c>
      <c r="T68" s="11">
        <f>IF(AND(E68&gt;=6.8,S68&lt;=5),"$10k+/mo",IF(AND(E68&gt;=6,R68&lt;=4),"$5k–10k/mo",IF(E68&gt;=5,"$2k–5k/mo","Under $2k/mo")))</f>
        <v/>
      </c>
      <c r="U68" s="11" t="inlineStr">
        <is>
          <t>Content-heavy work fits AI well; corporate L&amp;D budgets exist</t>
        </is>
      </c>
      <c r="V68" s="11" t="inlineStr">
        <is>
          <t>Many freelancers; commoditising fast as LMS platforms add AI</t>
        </is>
      </c>
      <c r="W68" s="5" t="n"/>
      <c r="X68" s="5" t="n"/>
      <c r="Y68" s="5" t="n"/>
      <c r="Z68" s="5" t="n"/>
    </row>
    <row r="69" ht="96" customHeight="1" s="7">
      <c r="A69" s="10" t="inlineStr">
        <is>
          <t>event planning businesses</t>
        </is>
      </c>
      <c r="B69" s="11" t="inlineStr">
        <is>
          <t>AI inquiry response &amp; vendor coordination</t>
        </is>
      </c>
      <c r="C69" s="11">
        <f>CONCATENATE("I build ",B69," systems for ",A69)</f>
        <v/>
      </c>
      <c r="D69" s="11">
        <f>RANK(E69,$E$46:$E$82)</f>
        <v/>
      </c>
      <c r="E69" s="12">
        <f>ROUND(G69*$C$87+H69*$C$88+I69*$C$89+J69*$C$90+K69*$C$91,2)</f>
        <v/>
      </c>
      <c r="F69" s="11">
        <f>IF(E69&gt;=7,"A – Start here",IF(E69&gt;=6,"B – Strong",IF(E69&gt;=5,"C – Possible","D – Avoid")))</f>
        <v/>
      </c>
      <c r="G69" s="13" t="n">
        <v>5</v>
      </c>
      <c r="H69" s="13" t="n">
        <v>6</v>
      </c>
      <c r="I69" s="13" t="n">
        <v>4</v>
      </c>
      <c r="J69" s="13" t="n">
        <v>7</v>
      </c>
      <c r="K69" s="13" t="n">
        <v>5</v>
      </c>
      <c r="L69" s="11" t="inlineStr">
        <is>
          <t>Medium-low</t>
        </is>
      </c>
      <c r="M69" s="11" t="inlineStr">
        <is>
          <t>Instant inquiry qualification and booking, proposal generation, automated vendor and attendee communications.</t>
        </is>
      </c>
      <c r="N69" s="11" t="inlineStr">
        <is>
          <t>Planners with 3–20 staff (corporate events pay best)</t>
        </is>
      </c>
      <c r="O69" s="14" t="n">
        <v>2500</v>
      </c>
      <c r="P69" s="14" t="n">
        <v>1000</v>
      </c>
      <c r="Q69" s="11">
        <f>ROUNDUP(2000/P69,0)</f>
        <v/>
      </c>
      <c r="R69" s="11">
        <f>ROUNDUP(5000/P69,0)</f>
        <v/>
      </c>
      <c r="S69" s="11">
        <f>ROUNDUP(10000/P69,0)</f>
        <v/>
      </c>
      <c r="T69" s="11">
        <f>IF(AND(E69&gt;=6.8,S69&lt;=5),"$10k+/mo",IF(AND(E69&gt;=6,R69&lt;=4),"$5k–10k/mo",IF(E69&gt;=5,"$2k–5k/mo","Under $2k/mo")))</f>
        <v/>
      </c>
      <c r="U69" s="11" t="inlineStr">
        <is>
          <t>Admin-heavy; corporate event planners have budgets</t>
        </is>
      </c>
      <c r="V69" s="11" t="inlineStr">
        <is>
          <t>Seasonal, event-driven cash flow; many tiny operators</t>
        </is>
      </c>
      <c r="W69" s="5" t="n"/>
      <c r="X69" s="5" t="n"/>
      <c r="Y69" s="5" t="n"/>
      <c r="Z69" s="5" t="n"/>
    </row>
    <row r="70" ht="96" customHeight="1" s="7">
      <c r="A70" s="10" t="inlineStr">
        <is>
          <t>email marketing companies</t>
        </is>
      </c>
      <c r="B70" s="11" t="inlineStr">
        <is>
          <t>AI flow &amp; copy production</t>
        </is>
      </c>
      <c r="C70" s="11">
        <f>CONCATENATE("I build ",B70," systems for ",A70)</f>
        <v/>
      </c>
      <c r="D70" s="11">
        <f>RANK(E70,$E$46:$E$82)</f>
        <v/>
      </c>
      <c r="E70" s="12">
        <f>ROUND(G70*$C$87+H70*$C$88+I70*$C$89+J70*$C$90+K70*$C$91,2)</f>
        <v/>
      </c>
      <c r="F70" s="11">
        <f>IF(E70&gt;=7,"A – Start here",IF(E70&gt;=6,"B – Strong",IF(E70&gt;=5,"C – Possible","D – Avoid")))</f>
        <v/>
      </c>
      <c r="G70" s="13" t="n">
        <v>5</v>
      </c>
      <c r="H70" s="13" t="n">
        <v>4</v>
      </c>
      <c r="I70" s="13" t="n">
        <v>5</v>
      </c>
      <c r="J70" s="13" t="n">
        <v>7</v>
      </c>
      <c r="K70" s="13" t="n">
        <v>5</v>
      </c>
      <c r="L70" s="11" t="inlineStr">
        <is>
          <t>High</t>
        </is>
      </c>
      <c r="M70" s="11" t="inlineStr">
        <is>
          <t>AI copy and flow generation for Klaviyo, segmentation analysis, automated reporting.</t>
        </is>
      </c>
      <c r="N70" s="11" t="inlineStr">
        <is>
          <t>Agencies with 2–20 staff</t>
        </is>
      </c>
      <c r="O70" s="14" t="n">
        <v>2500</v>
      </c>
      <c r="P70" s="14" t="n">
        <v>1000</v>
      </c>
      <c r="Q70" s="11">
        <f>ROUNDUP(2000/P70,0)</f>
        <v/>
      </c>
      <c r="R70" s="11">
        <f>ROUNDUP(5000/P70,0)</f>
        <v/>
      </c>
      <c r="S70" s="11">
        <f>ROUNDUP(10000/P70,0)</f>
        <v/>
      </c>
      <c r="T70" s="11">
        <f>IF(AND(E70&gt;=6.8,S70&lt;=5),"$10k+/mo",IF(AND(E70&gt;=6,R70&lt;=4),"$5k–10k/mo",IF(E70&gt;=5,"$2k–5k/mo","Under $2k/mo")))</f>
        <v/>
      </c>
      <c r="U70" s="11" t="inlineStr">
        <is>
          <t>Easy to reach; they already understand automation</t>
        </is>
      </c>
      <c r="V70" s="11" t="inlineStr">
        <is>
          <t>Klaviyo and other ESPs ship native AI; automation-savvy buyers DIY</t>
        </is>
      </c>
      <c r="W70" s="5" t="n"/>
      <c r="X70" s="5" t="n"/>
      <c r="Y70" s="5" t="n"/>
      <c r="Z70" s="5" t="n"/>
    </row>
    <row r="71" ht="96" customHeight="1" s="7">
      <c r="A71" s="10" t="inlineStr">
        <is>
          <t>website developers</t>
        </is>
      </c>
      <c r="B71" s="11" t="inlineStr">
        <is>
          <t>AI lead gen &amp; client onboarding</t>
        </is>
      </c>
      <c r="C71" s="11">
        <f>CONCATENATE("I build ",B71," systems for ",A71)</f>
        <v/>
      </c>
      <c r="D71" s="11">
        <f>RANK(E71,$E$46:$E$82)</f>
        <v/>
      </c>
      <c r="E71" s="12">
        <f>ROUND(G71*$C$87+H71*$C$88+I71*$C$89+J71*$C$90+K71*$C$91,2)</f>
        <v/>
      </c>
      <c r="F71" s="11">
        <f>IF(E71&gt;=7,"A – Start here",IF(E71&gt;=6,"B – Strong",IF(E71&gt;=5,"C – Possible","D – Avoid")))</f>
        <v/>
      </c>
      <c r="G71" s="13" t="n">
        <v>5</v>
      </c>
      <c r="H71" s="13" t="n">
        <v>4</v>
      </c>
      <c r="I71" s="13" t="n">
        <v>5</v>
      </c>
      <c r="J71" s="13" t="n">
        <v>7</v>
      </c>
      <c r="K71" s="13" t="n">
        <v>5</v>
      </c>
      <c r="L71" s="11" t="inlineStr">
        <is>
          <t>High</t>
        </is>
      </c>
      <c r="M71" s="11" t="inlineStr">
        <is>
          <t>Outbound lead gen, AI proposal generation, client onboarding and content-collection automation.</t>
        </is>
      </c>
      <c r="N71" s="11" t="inlineStr">
        <is>
          <t>Freelancers and small agencies</t>
        </is>
      </c>
      <c r="O71" s="14" t="n">
        <v>2000</v>
      </c>
      <c r="P71" s="14" t="n">
        <v>1000</v>
      </c>
      <c r="Q71" s="11">
        <f>ROUNDUP(2000/P71,0)</f>
        <v/>
      </c>
      <c r="R71" s="11">
        <f>ROUNDUP(5000/P71,0)</f>
        <v/>
      </c>
      <c r="S71" s="11">
        <f>ROUNDUP(10000/P71,0)</f>
        <v/>
      </c>
      <c r="T71" s="11">
        <f>IF(AND(E71&gt;=6.8,S71&lt;=5),"$10k+/mo",IF(AND(E71&gt;=6,R71&lt;=4),"$5k–10k/mo",IF(E71&gt;=5,"$2k–5k/mo","Under $2k/mo")))</f>
        <v/>
      </c>
      <c r="U71" s="11" t="inlineStr">
        <is>
          <t>Easy to reach; fast buyers</t>
        </is>
      </c>
      <c r="V71" s="11" t="inlineStr">
        <is>
          <t>Small budgets; AI website builders are eroding their market; can DIY</t>
        </is>
      </c>
      <c r="W71" s="5" t="n"/>
      <c r="X71" s="5" t="n"/>
      <c r="Y71" s="5" t="n"/>
      <c r="Z71" s="5" t="n"/>
    </row>
    <row r="72" ht="96" customHeight="1" s="7">
      <c r="A72" s="10" t="inlineStr">
        <is>
          <t>video editing agencies</t>
        </is>
      </c>
      <c r="B72" s="11" t="inlineStr">
        <is>
          <t>AI clipping &amp; client pipeline</t>
        </is>
      </c>
      <c r="C72" s="11">
        <f>CONCATENATE("I build ",B72," systems for ",A72)</f>
        <v/>
      </c>
      <c r="D72" s="11">
        <f>RANK(E72,$E$46:$E$82)</f>
        <v/>
      </c>
      <c r="E72" s="12">
        <f>ROUND(G72*$C$87+H72*$C$88+I72*$C$89+J72*$C$90+K72*$C$91,2)</f>
        <v/>
      </c>
      <c r="F72" s="11">
        <f>IF(E72&gt;=7,"A – Start here",IF(E72&gt;=6,"B – Strong",IF(E72&gt;=5,"C – Possible","D – Avoid")))</f>
        <v/>
      </c>
      <c r="G72" s="13" t="n">
        <v>5</v>
      </c>
      <c r="H72" s="13" t="n">
        <v>5</v>
      </c>
      <c r="I72" s="13" t="n">
        <v>4</v>
      </c>
      <c r="J72" s="13" t="n">
        <v>7</v>
      </c>
      <c r="K72" s="13" t="n">
        <v>5</v>
      </c>
      <c r="L72" s="11" t="inlineStr">
        <is>
          <t>Medium</t>
        </is>
      </c>
      <c r="M72" s="11" t="inlineStr">
        <is>
          <t>Automated clip selection and captioning pipeline, client intake and revision tracking, outbound lead gen.</t>
        </is>
      </c>
      <c r="N72" s="11" t="inlineStr">
        <is>
          <t>Agencies with 2–15 editors</t>
        </is>
      </c>
      <c r="O72" s="14" t="n">
        <v>2000</v>
      </c>
      <c r="P72" s="14" t="n">
        <v>1000</v>
      </c>
      <c r="Q72" s="11">
        <f>ROUNDUP(2000/P72,0)</f>
        <v/>
      </c>
      <c r="R72" s="11">
        <f>ROUNDUP(5000/P72,0)</f>
        <v/>
      </c>
      <c r="S72" s="11">
        <f>ROUNDUP(10000/P72,0)</f>
        <v/>
      </c>
      <c r="T72" s="11">
        <f>IF(AND(E72&gt;=6.8,S72&lt;=5),"$10k+/mo",IF(AND(E72&gt;=6,R72&lt;=4),"$5k–10k/mo",IF(E72&gt;=5,"$2k–5k/mo","Under $2k/mo")))</f>
        <v/>
      </c>
      <c r="U72" s="11" t="inlineStr">
        <is>
          <t>Clear production bottlenecks; growing creator economy</t>
        </is>
      </c>
      <c r="V72" s="11" t="inlineStr">
        <is>
          <t>Low budgets; AI editing tools (Opus Clip, Descript) compete directly</t>
        </is>
      </c>
      <c r="W72" s="5" t="n"/>
      <c r="X72" s="5" t="n"/>
      <c r="Y72" s="5" t="n"/>
      <c r="Z72" s="5" t="n"/>
    </row>
    <row r="73" ht="96" customHeight="1" s="7">
      <c r="A73" s="10" t="inlineStr">
        <is>
          <t>content writing firms</t>
        </is>
      </c>
      <c r="B73" s="11" t="inlineStr">
        <is>
          <t>AI content production pipeline</t>
        </is>
      </c>
      <c r="C73" s="11">
        <f>CONCATENATE("I build ",B73," systems for ",A73)</f>
        <v/>
      </c>
      <c r="D73" s="11">
        <f>RANK(E73,$E$46:$E$82)</f>
        <v/>
      </c>
      <c r="E73" s="12">
        <f>ROUND(G73*$C$87+H73*$C$88+I73*$C$89+J73*$C$90+K73*$C$91,2)</f>
        <v/>
      </c>
      <c r="F73" s="11">
        <f>IF(E73&gt;=7,"A – Start here",IF(E73&gt;=6,"B – Strong",IF(E73&gt;=5,"C – Possible","D – Avoid")))</f>
        <v/>
      </c>
      <c r="G73" s="13" t="n">
        <v>6</v>
      </c>
      <c r="H73" s="13" t="n">
        <v>3</v>
      </c>
      <c r="I73" s="13" t="n">
        <v>4</v>
      </c>
      <c r="J73" s="13" t="n">
        <v>7</v>
      </c>
      <c r="K73" s="13" t="n">
        <v>5</v>
      </c>
      <c r="L73" s="11" t="inlineStr">
        <is>
          <t>High</t>
        </is>
      </c>
      <c r="M73" s="11" t="inlineStr">
        <is>
          <t>Brief to research to draft to edit pipelines in the brand voice, fact-checking, auto-publishing.</t>
        </is>
      </c>
      <c r="N73" s="11" t="inlineStr">
        <is>
          <t>Agencies with 2–30 writers</t>
        </is>
      </c>
      <c r="O73" s="14" t="n">
        <v>2500</v>
      </c>
      <c r="P73" s="14" t="n">
        <v>1000</v>
      </c>
      <c r="Q73" s="11">
        <f>ROUNDUP(2000/P73,0)</f>
        <v/>
      </c>
      <c r="R73" s="11">
        <f>ROUNDUP(5000/P73,0)</f>
        <v/>
      </c>
      <c r="S73" s="11">
        <f>ROUNDUP(10000/P73,0)</f>
        <v/>
      </c>
      <c r="T73" s="11">
        <f>IF(AND(E73&gt;=6.8,S73&lt;=5),"$10k+/mo",IF(AND(E73&gt;=6,R73&lt;=4),"$5k–10k/mo",IF(E73&gt;=5,"$2k–5k/mo","Under $2k/mo")))</f>
        <v/>
      </c>
      <c r="U73" s="11" t="inlineStr">
        <is>
          <t>Urgent need to adapt to AI; volume-based work</t>
        </is>
      </c>
      <c r="V73" s="11" t="inlineStr">
        <is>
          <t>Industry shrinking under AI disruption; falling budgets; can DIY with ChatGPT/Claude</t>
        </is>
      </c>
      <c r="W73" s="5" t="n"/>
      <c r="X73" s="5" t="n"/>
      <c r="Y73" s="5" t="n"/>
      <c r="Z73" s="5" t="n"/>
    </row>
    <row r="74" ht="96" customHeight="1" s="7">
      <c r="A74" s="10" t="inlineStr">
        <is>
          <t>wedding coordinators</t>
        </is>
      </c>
      <c r="B74" s="11" t="inlineStr">
        <is>
          <t>AI inquiry &amp; booking assistant</t>
        </is>
      </c>
      <c r="C74" s="11">
        <f>CONCATENATE("I build ",B74," systems for ",A74)</f>
        <v/>
      </c>
      <c r="D74" s="11">
        <f>RANK(E74,$E$46:$E$82)</f>
        <v/>
      </c>
      <c r="E74" s="12">
        <f>ROUND(G74*$C$87+H74*$C$88+I74*$C$89+J74*$C$90+K74*$C$91,2)</f>
        <v/>
      </c>
      <c r="F74" s="11">
        <f>IF(E74&gt;=7,"A – Start here",IF(E74&gt;=6,"B – Strong",IF(E74&gt;=5,"C – Possible","D – Avoid")))</f>
        <v/>
      </c>
      <c r="G74" s="13" t="n">
        <v>5</v>
      </c>
      <c r="H74" s="13" t="n">
        <v>7</v>
      </c>
      <c r="I74" s="13" t="n">
        <v>3</v>
      </c>
      <c r="J74" s="13" t="n">
        <v>7</v>
      </c>
      <c r="K74" s="13" t="n">
        <v>4</v>
      </c>
      <c r="L74" s="11" t="inlineStr">
        <is>
          <t>Low</t>
        </is>
      </c>
      <c r="M74" s="11" t="inlineStr">
        <is>
          <t>Instant inquiry responses, qualification and call booking, timeline/checklist automation, vendor communications.</t>
        </is>
      </c>
      <c r="N74" s="11" t="inlineStr">
        <is>
          <t>Mostly solo or very small planners</t>
        </is>
      </c>
      <c r="O74" s="14" t="n">
        <v>1500</v>
      </c>
      <c r="P74" s="14" t="n">
        <v>600</v>
      </c>
      <c r="Q74" s="11">
        <f>ROUNDUP(2000/P74,0)</f>
        <v/>
      </c>
      <c r="R74" s="11">
        <f>ROUNDUP(5000/P74,0)</f>
        <v/>
      </c>
      <c r="S74" s="11">
        <f>ROUNDUP(10000/P74,0)</f>
        <v/>
      </c>
      <c r="T74" s="11">
        <f>IF(AND(E74&gt;=6.8,S74&lt;=5),"$10k+/mo",IF(AND(E74&gt;=6,R74&lt;=4),"$5k–10k/mo",IF(E74&gt;=5,"$2k–5k/mo","Under $2k/mo")))</f>
        <v/>
      </c>
      <c r="U74" s="11" t="inlineStr">
        <is>
          <t>Low competition; admin-heavy; easy to demo</t>
        </is>
      </c>
      <c r="V74" s="11" t="inlineStr">
        <is>
          <t>Small budgets; highly seasonal; mostly solo operators</t>
        </is>
      </c>
      <c r="W74" s="5" t="n"/>
      <c r="X74" s="5" t="n"/>
      <c r="Y74" s="5" t="n"/>
      <c r="Z74" s="5" t="n"/>
    </row>
    <row r="75" ht="96" customHeight="1" s="7">
      <c r="A75" s="10" t="inlineStr">
        <is>
          <t>crowdfunding agencies</t>
        </is>
      </c>
      <c r="B75" s="11" t="inlineStr">
        <is>
          <t>AI backer &amp; press outreach</t>
        </is>
      </c>
      <c r="C75" s="11">
        <f>CONCATENATE("I build ",B75," systems for ",A75)</f>
        <v/>
      </c>
      <c r="D75" s="11">
        <f>RANK(E75,$E$46:$E$82)</f>
        <v/>
      </c>
      <c r="E75" s="12">
        <f>ROUND(G75*$C$87+H75*$C$88+I75*$C$89+J75*$C$90+K75*$C$91,2)</f>
        <v/>
      </c>
      <c r="F75" s="11">
        <f>IF(E75&gt;=7,"A – Start here",IF(E75&gt;=6,"B – Strong",IF(E75&gt;=5,"C – Possible","D – Avoid")))</f>
        <v/>
      </c>
      <c r="G75" s="13" t="n">
        <v>4</v>
      </c>
      <c r="H75" s="13" t="n">
        <v>7</v>
      </c>
      <c r="I75" s="13" t="n">
        <v>5</v>
      </c>
      <c r="J75" s="13" t="n">
        <v>6</v>
      </c>
      <c r="K75" s="13" t="n">
        <v>3</v>
      </c>
      <c r="L75" s="11" t="inlineStr">
        <is>
          <t>Low</t>
        </is>
      </c>
      <c r="M75" s="11" t="inlineStr">
        <is>
          <t>Backer list building, influencer and press outreach, campaign update and reporting automation.</t>
        </is>
      </c>
      <c r="N75" s="11" t="inlineStr">
        <is>
          <t>Small agencies</t>
        </is>
      </c>
      <c r="O75" s="14" t="n">
        <v>3000</v>
      </c>
      <c r="P75" s="14" t="n">
        <v>1000</v>
      </c>
      <c r="Q75" s="11">
        <f>ROUNDUP(2000/P75,0)</f>
        <v/>
      </c>
      <c r="R75" s="11">
        <f>ROUNDUP(5000/P75,0)</f>
        <v/>
      </c>
      <c r="S75" s="11">
        <f>ROUNDUP(10000/P75,0)</f>
        <v/>
      </c>
      <c r="T75" s="11">
        <f>IF(AND(E75&gt;=6.8,S75&lt;=5),"$10k+/mo",IF(AND(E75&gt;=6,R75&lt;=4),"$5k–10k/mo",IF(E75&gt;=5,"$2k–5k/mo","Under $2k/mo")))</f>
        <v/>
      </c>
      <c r="U75" s="11" t="inlineStr">
        <is>
          <t>Clear campaign KPIs; low competition</t>
        </is>
      </c>
      <c r="V75" s="11" t="inlineStr">
        <is>
          <t>Project-based, not recurring; small market</t>
        </is>
      </c>
      <c r="W75" s="5" t="n"/>
      <c r="X75" s="5" t="n"/>
      <c r="Y75" s="5" t="n"/>
      <c r="Z75" s="5" t="n"/>
    </row>
    <row r="76" ht="96" customHeight="1" s="7">
      <c r="A76" s="10" t="inlineStr">
        <is>
          <t>crypto companies</t>
        </is>
      </c>
      <c r="B76" s="11" t="inlineStr">
        <is>
          <t>AI community support &amp; investor outreach</t>
        </is>
      </c>
      <c r="C76" s="11">
        <f>CONCATENATE("I build ",B76," systems for ",A76)</f>
        <v/>
      </c>
      <c r="D76" s="11">
        <f>RANK(E76,$E$46:$E$82)</f>
        <v/>
      </c>
      <c r="E76" s="12">
        <f>ROUND(G76*$C$87+H76*$C$88+I76*$C$89+J76*$C$90+K76*$C$91,2)</f>
        <v/>
      </c>
      <c r="F76" s="11">
        <f>IF(E76&gt;=7,"A – Start here",IF(E76&gt;=6,"B – Strong",IF(E76&gt;=5,"C – Possible","D – Avoid")))</f>
        <v/>
      </c>
      <c r="G76" s="13" t="n">
        <v>5</v>
      </c>
      <c r="H76" s="13" t="n">
        <v>5</v>
      </c>
      <c r="I76" s="13" t="n">
        <v>6</v>
      </c>
      <c r="J76" s="13" t="n">
        <v>5</v>
      </c>
      <c r="K76" s="13" t="n">
        <v>3</v>
      </c>
      <c r="L76" s="11" t="inlineStr">
        <is>
          <t>Medium</t>
        </is>
      </c>
      <c r="M76" s="11" t="inlineStr">
        <is>
          <t>Discord/Telegram AI support agents, KOL and investor outreach, token and news monitoring.</t>
        </is>
      </c>
      <c r="N76" s="11" t="inlineStr">
        <is>
          <t>Web3 startups</t>
        </is>
      </c>
      <c r="O76" s="14" t="n">
        <v>4000</v>
      </c>
      <c r="P76" s="14" t="n">
        <v>1500</v>
      </c>
      <c r="Q76" s="11">
        <f>ROUNDUP(2000/P76,0)</f>
        <v/>
      </c>
      <c r="R76" s="11">
        <f>ROUNDUP(5000/P76,0)</f>
        <v/>
      </c>
      <c r="S76" s="11">
        <f>ROUNDUP(10000/P76,0)</f>
        <v/>
      </c>
      <c r="T76" s="11">
        <f>IF(AND(E76&gt;=6.8,S76&lt;=5),"$10k+/mo",IF(AND(E76&gt;=6,R76&lt;=4),"$5k–10k/mo",IF(E76&gt;=5,"$2k–5k/mo","Under $2k/mo")))</f>
        <v/>
      </c>
      <c r="U76" s="11" t="inlineStr">
        <is>
          <t>Can pay well in bull markets; tech-forward</t>
        </is>
      </c>
      <c r="V76" s="11" t="inlineStr">
        <is>
          <t>Highly volatile; payment and reputational risk; frequent project failures; regulatory uncertainty</t>
        </is>
      </c>
      <c r="W76" s="5" t="n"/>
      <c r="X76" s="5" t="n"/>
      <c r="Y76" s="5" t="n"/>
      <c r="Z76" s="5" t="n"/>
    </row>
    <row r="77" ht="96" customHeight="1" s="7">
      <c r="A77" s="10" t="inlineStr">
        <is>
          <t>meal services</t>
        </is>
      </c>
      <c r="B77" s="11" t="inlineStr">
        <is>
          <t>AI customer support &amp; retention</t>
        </is>
      </c>
      <c r="C77" s="11">
        <f>CONCATENATE("I build ",B77," systems for ",A77)</f>
        <v/>
      </c>
      <c r="D77" s="11">
        <f>RANK(E77,$E$46:$E$82)</f>
        <v/>
      </c>
      <c r="E77" s="12">
        <f>ROUND(G77*$C$87+H77*$C$88+I77*$C$89+J77*$C$90+K77*$C$91,2)</f>
        <v/>
      </c>
      <c r="F77" s="11">
        <f>IF(E77&gt;=7,"A – Start here",IF(E77&gt;=6,"B – Strong",IF(E77&gt;=5,"C – Possible","D – Avoid")))</f>
        <v/>
      </c>
      <c r="G77" s="13" t="n">
        <v>5</v>
      </c>
      <c r="H77" s="13" t="n">
        <v>5</v>
      </c>
      <c r="I77" s="13" t="n">
        <v>4</v>
      </c>
      <c r="J77" s="13" t="n">
        <v>6</v>
      </c>
      <c r="K77" s="13" t="n">
        <v>5</v>
      </c>
      <c r="L77" s="11" t="inlineStr">
        <is>
          <t>Medium</t>
        </is>
      </c>
      <c r="M77" s="11" t="inlineStr">
        <is>
          <t>AI support agent for orders and subscriptions, churn win-back flows, order-ops and delivery notifications.</t>
        </is>
      </c>
      <c r="N77" s="11" t="inlineStr">
        <is>
          <t>Meal-prep / delivery businesses with $1M–$20M revenue</t>
        </is>
      </c>
      <c r="O77" s="14" t="n">
        <v>3000</v>
      </c>
      <c r="P77" s="14" t="n">
        <v>1200</v>
      </c>
      <c r="Q77" s="11">
        <f>ROUNDUP(2000/P77,0)</f>
        <v/>
      </c>
      <c r="R77" s="11">
        <f>ROUNDUP(5000/P77,0)</f>
        <v/>
      </c>
      <c r="S77" s="11">
        <f>ROUNDUP(10000/P77,0)</f>
        <v/>
      </c>
      <c r="T77" s="11">
        <f>IF(AND(E77&gt;=6.8,S77&lt;=5),"$10k+/mo",IF(AND(E77&gt;=6,R77&lt;=4),"$5k–10k/mo",IF(E77&gt;=5,"$2k–5k/mo","Under $2k/mo")))</f>
        <v/>
      </c>
      <c r="U77" s="11" t="inlineStr">
        <is>
          <t>High support volume; subscription churn gives a measurable win</t>
        </is>
      </c>
      <c r="V77" s="11" t="inlineStr">
        <is>
          <t>Thin margins; e-commerce-like (not service-based); Shopify apps compete</t>
        </is>
      </c>
      <c r="W77" s="5" t="n"/>
      <c r="X77" s="5" t="n"/>
      <c r="Y77" s="5" t="n"/>
      <c r="Z77" s="5" t="n"/>
    </row>
    <row r="78" ht="96" customHeight="1" s="7">
      <c r="A78" s="10" t="inlineStr">
        <is>
          <t>instagram influencers</t>
        </is>
      </c>
      <c r="B78" s="11" t="inlineStr">
        <is>
          <t>AI DM setter &amp; content repurposing</t>
        </is>
      </c>
      <c r="C78" s="11">
        <f>CONCATENATE("I build ",B78," systems for ",A78)</f>
        <v/>
      </c>
      <c r="D78" s="11">
        <f>RANK(E78,$E$46:$E$82)</f>
        <v/>
      </c>
      <c r="E78" s="12">
        <f>ROUND(G78*$C$87+H78*$C$88+I78*$C$89+J78*$C$90+K78*$C$91,2)</f>
        <v/>
      </c>
      <c r="F78" s="11">
        <f>IF(E78&gt;=7,"A – Start here",IF(E78&gt;=6,"B – Strong",IF(E78&gt;=5,"C – Possible","D – Avoid")))</f>
        <v/>
      </c>
      <c r="G78" s="13" t="n">
        <v>6</v>
      </c>
      <c r="H78" s="13" t="n">
        <v>4</v>
      </c>
      <c r="I78" s="13" t="n">
        <v>4</v>
      </c>
      <c r="J78" s="13" t="n">
        <v>6</v>
      </c>
      <c r="K78" s="13" t="n">
        <v>4</v>
      </c>
      <c r="L78" s="11" t="inlineStr">
        <is>
          <t>High</t>
        </is>
      </c>
      <c r="M78" s="11" t="inlineStr">
        <is>
          <t>AI DM qualification and call booking for their offers, content repurposing, brand-deal inbox management.</t>
        </is>
      </c>
      <c r="N78" s="11" t="inlineStr">
        <is>
          <t>Creators with 50k–1M followers selling products or coaching</t>
        </is>
      </c>
      <c r="O78" s="14" t="n">
        <v>2000</v>
      </c>
      <c r="P78" s="14" t="n">
        <v>1000</v>
      </c>
      <c r="Q78" s="11">
        <f>ROUNDUP(2000/P78,0)</f>
        <v/>
      </c>
      <c r="R78" s="11">
        <f>ROUNDUP(5000/P78,0)</f>
        <v/>
      </c>
      <c r="S78" s="11">
        <f>ROUNDUP(10000/P78,0)</f>
        <v/>
      </c>
      <c r="T78" s="11">
        <f>IF(AND(E78&gt;=6.8,S78&lt;=5),"$10k+/mo",IF(AND(E78&gt;=6,R78&lt;=4),"$5k–10k/mo",IF(E78&gt;=5,"$2k–5k/mo","Under $2k/mo")))</f>
        <v/>
      </c>
      <c r="U78" s="11" t="inlineStr">
        <is>
          <t>Big audiences mean lots of leads to handle; fast decisions</t>
        </is>
      </c>
      <c r="V78" s="11" t="inlineStr">
        <is>
          <t>Volatile income; high churn; Meta DM-automation rules; many cheap competitors</t>
        </is>
      </c>
      <c r="W78" s="5" t="n"/>
      <c r="X78" s="5" t="n"/>
      <c r="Y78" s="5" t="n"/>
      <c r="Z78" s="5" t="n"/>
    </row>
    <row r="79" ht="96" customHeight="1" s="7">
      <c r="A79" s="10" t="inlineStr">
        <is>
          <t>photography and videography agencies</t>
        </is>
      </c>
      <c r="B79" s="11" t="inlineStr">
        <is>
          <t>AI inquiry, booking &amp; gallery upsell</t>
        </is>
      </c>
      <c r="C79" s="11">
        <f>CONCATENATE("I build ",B79," systems for ",A79)</f>
        <v/>
      </c>
      <c r="D79" s="11">
        <f>RANK(E79,$E$46:$E$82)</f>
        <v/>
      </c>
      <c r="E79" s="12">
        <f>ROUND(G79*$C$87+H79*$C$88+I79*$C$89+J79*$C$90+K79*$C$91,2)</f>
        <v/>
      </c>
      <c r="F79" s="11">
        <f>IF(E79&gt;=7,"A – Start here",IF(E79&gt;=6,"B – Strong",IF(E79&gt;=5,"C – Possible","D – Avoid")))</f>
        <v/>
      </c>
      <c r="G79" s="13" t="n">
        <v>5</v>
      </c>
      <c r="H79" s="13" t="n">
        <v>6</v>
      </c>
      <c r="I79" s="13" t="n">
        <v>3</v>
      </c>
      <c r="J79" s="13" t="n">
        <v>7</v>
      </c>
      <c r="K79" s="13" t="n">
        <v>4</v>
      </c>
      <c r="L79" s="11" t="inlineStr">
        <is>
          <t>Medium-low</t>
        </is>
      </c>
      <c r="M79" s="11" t="inlineStr">
        <is>
          <t>Instant inquiry response and booking, contract/invoice automation, gallery delivery with upsell and print-sale follow-ups, review requests.</t>
        </is>
      </c>
      <c r="N79" s="11" t="inlineStr">
        <is>
          <t>Studios with 1–10 staff</t>
        </is>
      </c>
      <c r="O79" s="14" t="n">
        <v>1500</v>
      </c>
      <c r="P79" s="14" t="n">
        <v>700</v>
      </c>
      <c r="Q79" s="11">
        <f>ROUNDUP(2000/P79,0)</f>
        <v/>
      </c>
      <c r="R79" s="11">
        <f>ROUNDUP(5000/P79,0)</f>
        <v/>
      </c>
      <c r="S79" s="11">
        <f>ROUNDUP(10000/P79,0)</f>
        <v/>
      </c>
      <c r="T79" s="11">
        <f>IF(AND(E79&gt;=6.8,S79&lt;=5),"$10k+/mo",IF(AND(E79&gt;=6,R79&lt;=4),"$5k–10k/mo",IF(E79&gt;=5,"$2k–5k/mo","Under $2k/mo")))</f>
        <v/>
      </c>
      <c r="U79" s="11" t="inlineStr">
        <is>
          <t>Admin-heavy; easy to demo</t>
        </is>
      </c>
      <c r="V79" s="11" t="inlineStr">
        <is>
          <t>Small budgets; solo operators; seasonal</t>
        </is>
      </c>
      <c r="W79" s="5" t="n"/>
      <c r="X79" s="5" t="n"/>
      <c r="Y79" s="5" t="n"/>
      <c r="Z79" s="5" t="n"/>
    </row>
    <row r="80" ht="96" customHeight="1" s="7">
      <c r="A80" s="10" t="inlineStr">
        <is>
          <t>VR companies</t>
        </is>
      </c>
      <c r="B80" s="11" t="inlineStr">
        <is>
          <t>AI training-scenario content</t>
        </is>
      </c>
      <c r="C80" s="11">
        <f>CONCATENATE("I build ",B80," systems for ",A80)</f>
        <v/>
      </c>
      <c r="D80" s="11">
        <f>RANK(E80,$E$46:$E$82)</f>
        <v/>
      </c>
      <c r="E80" s="12">
        <f>ROUND(G80*$C$87+H80*$C$88+I80*$C$89+J80*$C$90+K80*$C$91,2)</f>
        <v/>
      </c>
      <c r="F80" s="11">
        <f>IF(E80&gt;=7,"A – Start here",IF(E80&gt;=6,"B – Strong",IF(E80&gt;=5,"C – Possible","D – Avoid")))</f>
        <v/>
      </c>
      <c r="G80" s="13" t="n">
        <v>3</v>
      </c>
      <c r="H80" s="13" t="n">
        <v>8</v>
      </c>
      <c r="I80" s="13" t="n">
        <v>5</v>
      </c>
      <c r="J80" s="13" t="n">
        <v>4</v>
      </c>
      <c r="K80" s="13" t="n">
        <v>4</v>
      </c>
      <c r="L80" s="11" t="inlineStr">
        <is>
          <t>Low</t>
        </is>
      </c>
      <c r="M80" s="11" t="inlineStr">
        <is>
          <t>AI scenario and script generation for training simulations, outreach to enterprise L&amp;D buyers.</t>
        </is>
      </c>
      <c r="N80" s="11" t="inlineStr">
        <is>
          <t>Startups and studios</t>
        </is>
      </c>
      <c r="O80" s="14" t="n">
        <v>5000</v>
      </c>
      <c r="P80" s="14" t="n">
        <v>1500</v>
      </c>
      <c r="Q80" s="11">
        <f>ROUNDUP(2000/P80,0)</f>
        <v/>
      </c>
      <c r="R80" s="11">
        <f>ROUNDUP(5000/P80,0)</f>
        <v/>
      </c>
      <c r="S80" s="11">
        <f>ROUNDUP(10000/P80,0)</f>
        <v/>
      </c>
      <c r="T80" s="11">
        <f>IF(AND(E80&gt;=6.8,S80&lt;=5),"$10k+/mo",IF(AND(E80&gt;=6,R80&lt;=4),"$5k–10k/mo",IF(E80&gt;=5,"$2k–5k/mo","Under $2k/mo")))</f>
        <v/>
      </c>
      <c r="U80" s="11" t="inlineStr">
        <is>
          <t>Low competition; tech-forward</t>
        </is>
      </c>
      <c r="V80" s="11" t="inlineStr">
        <is>
          <t>Tiny, shrinking market; few buyers; funding-dependent</t>
        </is>
      </c>
      <c r="W80" s="5" t="n"/>
      <c r="X80" s="5" t="n"/>
      <c r="Y80" s="5" t="n"/>
      <c r="Z80" s="5" t="n"/>
    </row>
    <row r="81" ht="96" customHeight="1" s="7">
      <c r="A81" s="10" t="inlineStr">
        <is>
          <t>AI consultants</t>
        </is>
      </c>
      <c r="B81" s="11" t="inlineStr">
        <is>
          <t>white-label AI build &amp; delivery</t>
        </is>
      </c>
      <c r="C81" s="11">
        <f>CONCATENATE("I build ",B81," systems for ",A81)</f>
        <v/>
      </c>
      <c r="D81" s="11">
        <f>RANK(E81,$E$46:$E$82)</f>
        <v/>
      </c>
      <c r="E81" s="12">
        <f>ROUND(G81*$C$87+H81*$C$88+I81*$C$89+J81*$C$90+K81*$C$91,2)</f>
        <v/>
      </c>
      <c r="F81" s="11">
        <f>IF(E81&gt;=7,"A – Start here",IF(E81&gt;=6,"B – Strong",IF(E81&gt;=5,"C – Possible","D – Avoid")))</f>
        <v/>
      </c>
      <c r="G81" s="13" t="n">
        <v>4</v>
      </c>
      <c r="H81" s="13" t="n">
        <v>2</v>
      </c>
      <c r="I81" s="13" t="n">
        <v>6</v>
      </c>
      <c r="J81" s="13" t="n">
        <v>5</v>
      </c>
      <c r="K81" s="13" t="n">
        <v>4</v>
      </c>
      <c r="L81" s="11" t="inlineStr">
        <is>
          <t>Very high</t>
        </is>
      </c>
      <c r="M81" s="11" t="inlineStr">
        <is>
          <t>White-label build partner: you implement the automations they sell (subcontracting).</t>
        </is>
      </c>
      <c r="N81" s="11" t="inlineStr">
        <is>
          <t>Solo consultants / small AI firms</t>
        </is>
      </c>
      <c r="O81" s="14" t="n">
        <v>3000</v>
      </c>
      <c r="P81" s="14" t="n">
        <v>1500</v>
      </c>
      <c r="Q81" s="11">
        <f>ROUNDUP(2000/P81,0)</f>
        <v/>
      </c>
      <c r="R81" s="11">
        <f>ROUNDUP(5000/P81,0)</f>
        <v/>
      </c>
      <c r="S81" s="11">
        <f>ROUNDUP(10000/P81,0)</f>
        <v/>
      </c>
      <c r="T81" s="11">
        <f>IF(AND(E81&gt;=6.8,S81&lt;=5),"$10k+/mo",IF(AND(E81&gt;=6,R81&lt;=4),"$5k–10k/mo",IF(E81&gt;=5,"$2k–5k/mo","Under $2k/mo")))</f>
        <v/>
      </c>
      <c r="U81" s="11" t="inlineStr">
        <is>
          <t>Steady project flow if you partner; no sales needed on your side</t>
        </is>
      </c>
      <c r="V81" s="11" t="inlineStr">
        <is>
          <t>They are your competitors; lower margins; dependent on their pipeline</t>
        </is>
      </c>
      <c r="W81" s="5" t="n"/>
      <c r="X81" s="5" t="n"/>
      <c r="Y81" s="5" t="n"/>
      <c r="Z81" s="5" t="n"/>
    </row>
    <row r="82" ht="96" customHeight="1" s="7">
      <c r="A82" s="10" t="inlineStr">
        <is>
          <t>chatbot developers</t>
        </is>
      </c>
      <c r="B82" s="11" t="inlineStr">
        <is>
          <t>AI agent QA &amp; compliance testing</t>
        </is>
      </c>
      <c r="C82" s="11">
        <f>CONCATENATE("I build ",B82," systems for ",A82)</f>
        <v/>
      </c>
      <c r="D82" s="11">
        <f>RANK(E82,$E$46:$E$82)</f>
        <v/>
      </c>
      <c r="E82" s="12">
        <f>ROUND(G82*$C$87+H82*$C$88+I82*$C$89+J82*$C$90+K82*$C$91,2)</f>
        <v/>
      </c>
      <c r="F82" s="11">
        <f>IF(E82&gt;=7,"A – Start here",IF(E82&gt;=6,"B – Strong",IF(E82&gt;=5,"C – Possible","D – Avoid")))</f>
        <v/>
      </c>
      <c r="G82" s="13" t="n">
        <v>3</v>
      </c>
      <c r="H82" s="13" t="n">
        <v>2</v>
      </c>
      <c r="I82" s="13" t="n">
        <v>5</v>
      </c>
      <c r="J82" s="13" t="n">
        <v>5</v>
      </c>
      <c r="K82" s="13" t="n">
        <v>3</v>
      </c>
      <c r="L82" s="11" t="inlineStr">
        <is>
          <t>Very high</t>
        </is>
      </c>
      <c r="M82" s="11" t="inlineStr">
        <is>
          <t>White-label agent evaluation, compliance/QA testing, voice-agent add-ons.</t>
        </is>
      </c>
      <c r="N82" s="11" t="inlineStr">
        <is>
          <t>Small dev shops</t>
        </is>
      </c>
      <c r="O82" s="14" t="n">
        <v>2500</v>
      </c>
      <c r="P82" s="14" t="n">
        <v>1000</v>
      </c>
      <c r="Q82" s="11">
        <f>ROUNDUP(2000/P82,0)</f>
        <v/>
      </c>
      <c r="R82" s="11">
        <f>ROUNDUP(5000/P82,0)</f>
        <v/>
      </c>
      <c r="S82" s="11">
        <f>ROUNDUP(10000/P82,0)</f>
        <v/>
      </c>
      <c r="T82" s="11">
        <f>IF(AND(E82&gt;=6.8,S82&lt;=5),"$10k+/mo",IF(AND(E82&gt;=6,R82&lt;=4),"$5k–10k/mo",IF(E82&gt;=5,"$2k–5k/mo","Under $2k/mo")))</f>
        <v/>
      </c>
      <c r="U82" s="11" t="inlineStr">
        <is>
          <t>Could become subcontracting partners</t>
        </is>
      </c>
      <c r="V82" s="11" t="inlineStr">
        <is>
          <t>Direct competitors; being commoditised by platforms; low willingness to pay</t>
        </is>
      </c>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15" t="inlineStr">
        <is>
          <t>⚖️ Scoring weights (edit the blue cells — scores and ranks update; weights should total 100%)</t>
        </is>
      </c>
      <c r="B86" s="16" t="n"/>
      <c r="C86" s="16"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17" t="inlineStr">
        <is>
          <t>Demand for AI automation</t>
        </is>
      </c>
      <c r="C87" s="18" t="n">
        <v>0.25</v>
      </c>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17" t="inlineStr">
        <is>
          <t>Low competition</t>
        </is>
      </c>
      <c r="C88" s="18" t="n">
        <v>0.15</v>
      </c>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17" t="inlineStr">
        <is>
          <t>Ability to pay / deal size</t>
        </is>
      </c>
      <c r="C89" s="18" t="n">
        <v>0.25</v>
      </c>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17" t="inlineStr">
        <is>
          <t>Ease to sell &amp; deliver as a beginner</t>
        </is>
      </c>
      <c r="C90" s="18" t="n">
        <v>0.2</v>
      </c>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17" t="inlineStr">
        <is>
          <t>Retention / recurring potential</t>
        </is>
      </c>
      <c r="C91" s="18" t="n">
        <v>0.15</v>
      </c>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19" t="inlineStr">
        <is>
          <t>Total</t>
        </is>
      </c>
      <c r="C92" s="20">
        <f>SUM(C87:C91)</f>
        <v/>
      </c>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21" t="inlineStr">
        <is>
          <t>Note: the rows are sorted by the default weights. If you change the weights, the Rank column recalculates — re-sort the table by Rank to reorder it.</t>
        </is>
      </c>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15" t="inlineStr">
        <is>
          <t>🚀 Recommendation — best niche to start an AI agency (US market)</t>
        </is>
      </c>
      <c r="B95" s="16" t="n"/>
      <c r="C95" s="16"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22" customHeight="1" s="7">
      <c r="A96" s="22" t="inlineStr">
        <is>
          <t>#1 pick (start here)</t>
        </is>
      </c>
      <c r="B96" s="23">
        <f>INDEX($A$46:$A$82,MATCH(1,$D$46:$D$82,0))</f>
        <v/>
      </c>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22" customHeight="1" s="7">
      <c r="A97" s="22" t="inlineStr">
        <is>
          <t>What to sell</t>
        </is>
      </c>
      <c r="B97" s="23">
        <f>INDEX($B$46:$B$82,MATCH(1,$D$46:$D$82,0))</f>
        <v/>
      </c>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22" customHeight="1" s="7">
      <c r="A98" s="22" t="inlineStr">
        <is>
          <t>Positioning statement</t>
        </is>
      </c>
      <c r="B98" s="23">
        <f>INDEX($C$46:$C$82,MATCH(1,$D$46:$D$82,0))</f>
        <v/>
      </c>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22" customHeight="1" s="7">
      <c r="A99" s="22" t="inlineStr">
        <is>
          <t>Typical setup fee + monthly retainer</t>
        </is>
      </c>
      <c r="B99" s="23">
        <f>TEXT(INDEX($O$46:$O$82,MATCH(1,$D$46:$D$82,0)),"$#,##0")&amp;" setup + "&amp;TEXT(INDEX($P$46:$P$82,MATCH(1,$D$46:$D$82,0)),"$#,##0")&amp;"/mo"</f>
        <v/>
      </c>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22" customHeight="1" s="7">
      <c r="A100" s="22" t="inlineStr">
        <is>
          <t>Clients needed: $2k / $5k / $10k per month</t>
        </is>
      </c>
      <c r="B100" s="23">
        <f>INDEX($Q$46:$Q$82,MATCH(1,$D$46:$D$82,0))&amp;" / "&amp;INDEX($R$46:$R$82,MATCH(1,$D$46:$D$82,0))&amp;" / "&amp;INDEX($S$46:$S$82,MATCH(1,$D$46:$D$82,0))&amp;" retainer clients"</f>
        <v/>
      </c>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22" customHeight="1" s="7">
      <c r="A101" s="22" t="inlineStr">
        <is>
          <t>#2 pick (backup / second vertical)</t>
        </is>
      </c>
      <c r="B101" s="23">
        <f>INDEX($A$46:$A$82,MATCH(2,$D$46:$D$82,0))</f>
        <v/>
      </c>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22" customHeight="1" s="7">
      <c r="A102" s="22" t="inlineStr">
        <is>
          <t>#3 pick</t>
        </is>
      </c>
      <c r="B102" s="23">
        <f>INDEX($A$46:$A$82,MATCH(3,$D$46:$D$82,0))</f>
        <v/>
      </c>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48" customHeight="1" s="7">
      <c r="A103" s="22" t="inlineStr">
        <is>
          <t>Avoid as a beginner</t>
        </is>
      </c>
      <c r="B103" s="23" t="inlineStr">
        <is>
          <t>Chatbot developers, AI consultants (they are your competitors), VR companies, crypto, crowdfunding, content-writing firms, photographers/wedding planners (budgets too small).</t>
        </is>
      </c>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48" customHeight="1" s="7">
      <c r="A104" s="22" t="inlineStr">
        <is>
          <t>$2k/mo milestone (months 1–2)</t>
        </is>
      </c>
      <c r="B104" s="23" t="inlineStr">
        <is>
          <t>Land 1 client. Offer a small paid pilot (e.g. $1.5k–$3k) that automates ONE painful workflow with a measurable result (hours saved, replies booked, placements). Case study &gt; everything.</t>
        </is>
      </c>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48" customHeight="1" s="7">
      <c r="A105" s="22" t="inlineStr">
        <is>
          <t>$5k/mo milestone (months 3–6)</t>
        </is>
      </c>
      <c r="B105" s="23" t="inlineStr">
        <is>
          <t>Convert the pilot into a monthly retainer and sign 2–3 more clients in the SAME niche using the case study. Productise: same build, re-deployed with small tweaks, so delivery time drops.</t>
        </is>
      </c>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48" customHeight="1" s="7">
      <c r="A106" s="22" t="inlineStr">
        <is>
          <t>$10k/mo milestone (months 6–12)</t>
        </is>
      </c>
      <c r="B106" s="23" t="inlineStr">
        <is>
          <t>4–6 retainer clients, or 3 clients plus 1–2 setup projects per month. Raise prices for new clients, add upsells (BD agent, reporting, voice agent) and ask every happy client for referrals.</t>
        </is>
      </c>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48" customHeight="1" s="7">
      <c r="A107" s="22" t="inlineStr">
        <is>
          <t>How the income math works</t>
        </is>
      </c>
      <c r="B107" s="23" t="inlineStr">
        <is>
          <t>Clients needed = target ÷ monthly retainer (rounded up). One-time setup fees are extra cash on top and speed up each milestone, but only retainers give stable monthly income.</t>
        </is>
      </c>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48" customHeight="1" s="7">
      <c r="A108" s="22" t="inlineStr">
        <is>
          <t>Source / assumptions</t>
        </is>
      </c>
      <c r="B108" s="23" t="inlineStr">
        <is>
          <t>All scores and prices are judgement-based estimates of the US market in 2026 for a small AI agency, not quoted from a single published source. Validate with 20–30 discovery calls before committing; edit the blue cells to match what you learn.</t>
        </is>
      </c>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sheetData>
  <mergeCells count="15">
    <mergeCell ref="B108:E108"/>
    <mergeCell ref="B102:E102"/>
    <mergeCell ref="B105:E105"/>
    <mergeCell ref="B106:E106"/>
    <mergeCell ref="A44:V44"/>
    <mergeCell ref="B96:E96"/>
    <mergeCell ref="B97:E97"/>
    <mergeCell ref="B100:E100"/>
    <mergeCell ref="A1:E1"/>
    <mergeCell ref="B104:E104"/>
    <mergeCell ref="B103:E103"/>
    <mergeCell ref="B107:E107"/>
    <mergeCell ref="B99:E99"/>
    <mergeCell ref="B101:E101"/>
    <mergeCell ref="B98:E98"/>
  </mergeCells>
  <conditionalFormatting sqref="F46:F82">
    <cfRule type="cellIs" priority="1" operator="equal" dxfId="0">
      <formula>"A – Start here"</formula>
    </cfRule>
    <cfRule type="cellIs" priority="3" operator="equal" dxfId="1">
      <formula>"B – Strong"</formula>
    </cfRule>
    <cfRule type="cellIs" priority="5" operator="equal" dxfId="2">
      <formula>"C – Possible"</formula>
    </cfRule>
    <cfRule type="cellIs" priority="7" operator="equal" dxfId="3">
      <formula>"D – Avoid"</formula>
    </cfRule>
  </conditionalFormatting>
  <conditionalFormatting sqref="A46:A82">
    <cfRule type="expression" priority="2" dxfId="0">
      <formula>$F46="A – Start here"</formula>
    </cfRule>
    <cfRule type="expression" priority="4" dxfId="1">
      <formula>$F46="B – Strong"</formula>
    </cfRule>
    <cfRule type="expression" priority="6" dxfId="2">
      <formula>$F46="C – Possible"</formula>
    </cfRule>
    <cfRule type="expression" priority="8" dxfId="3">
      <formula>$F46="D – Avoid"</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2026-09-30T17:57:31Z</dcterms:created>
  <dcterms:modified xsi:type="dcterms:W3CDTF">2026-09-30T17:57:31Z</dcterms:modified>
</cp:coreProperties>
</file>